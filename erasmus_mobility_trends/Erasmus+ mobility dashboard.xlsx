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77184EFB-B46D-44DE-AA13-F2EE02896577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visualisations" sheetId="2" r:id="rId1"/>
    <sheet name="data" sheetId="3" r:id="rId2"/>
  </sheets>
  <definedNames>
    <definedName name="ExternalData_1" localSheetId="1" hidden="1">data!$A$6:$H$347</definedName>
    <definedName name="_xlnm.Print_Area" localSheetId="1">data!$A$7:$A$7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350" i="3" l="1"/>
  <c r="AM351" i="3"/>
  <c r="AM352" i="3"/>
  <c r="AM353" i="3"/>
  <c r="AM354" i="3"/>
  <c r="AM355" i="3"/>
  <c r="AM356" i="3"/>
  <c r="AM357" i="3"/>
  <c r="AM358" i="3"/>
  <c r="AL350" i="3"/>
  <c r="AL351" i="3"/>
  <c r="AL352" i="3"/>
  <c r="AL353" i="3"/>
  <c r="AL354" i="3"/>
  <c r="AL355" i="3"/>
  <c r="AL356" i="3"/>
  <c r="AL357" i="3"/>
  <c r="AL358" i="3"/>
  <c r="AK350" i="3"/>
  <c r="AK351" i="3"/>
  <c r="AK352" i="3"/>
  <c r="AK353" i="3"/>
  <c r="AK354" i="3"/>
  <c r="AK355" i="3"/>
  <c r="AK356" i="3"/>
  <c r="AK357" i="3"/>
  <c r="AK358" i="3"/>
  <c r="AJ350" i="3"/>
  <c r="AJ351" i="3"/>
  <c r="AJ352" i="3"/>
  <c r="AJ353" i="3"/>
  <c r="AJ354" i="3"/>
  <c r="AJ355" i="3"/>
  <c r="AJ356" i="3"/>
  <c r="AJ357" i="3"/>
  <c r="AJ358" i="3"/>
  <c r="AI350" i="3"/>
  <c r="AI351" i="3"/>
  <c r="AI352" i="3"/>
  <c r="AI353" i="3"/>
  <c r="AI354" i="3"/>
  <c r="AI355" i="3"/>
  <c r="AI356" i="3"/>
  <c r="AI357" i="3"/>
  <c r="AI358" i="3"/>
  <c r="AH350" i="3"/>
  <c r="AH351" i="3"/>
  <c r="AH352" i="3"/>
  <c r="AH353" i="3"/>
  <c r="AH354" i="3"/>
  <c r="AH355" i="3"/>
  <c r="AH356" i="3"/>
  <c r="AH357" i="3"/>
  <c r="AH358" i="3"/>
  <c r="AG350" i="3"/>
  <c r="AG351" i="3"/>
  <c r="AG352" i="3"/>
  <c r="AG353" i="3"/>
  <c r="AG354" i="3"/>
  <c r="AG355" i="3"/>
  <c r="AG356" i="3"/>
  <c r="AG357" i="3"/>
  <c r="AG358" i="3"/>
  <c r="AF350" i="3"/>
  <c r="AF351" i="3"/>
  <c r="AF352" i="3"/>
  <c r="AF353" i="3"/>
  <c r="AF354" i="3"/>
  <c r="AF355" i="3"/>
  <c r="AF356" i="3"/>
  <c r="AF357" i="3"/>
  <c r="AF358" i="3"/>
  <c r="AE350" i="3"/>
  <c r="AE351" i="3"/>
  <c r="AE352" i="3"/>
  <c r="AE353" i="3"/>
  <c r="AE354" i="3"/>
  <c r="AE355" i="3"/>
  <c r="AE356" i="3"/>
  <c r="AE357" i="3"/>
  <c r="AE358" i="3"/>
  <c r="AD350" i="3"/>
  <c r="AD351" i="3"/>
  <c r="AD352" i="3"/>
  <c r="AD353" i="3"/>
  <c r="AD354" i="3"/>
  <c r="AD355" i="3"/>
  <c r="AD356" i="3"/>
  <c r="AD357" i="3"/>
  <c r="AD358" i="3"/>
  <c r="AC350" i="3"/>
  <c r="AC351" i="3"/>
  <c r="AC352" i="3"/>
  <c r="AC353" i="3"/>
  <c r="AC354" i="3"/>
  <c r="AC355" i="3"/>
  <c r="AC356" i="3"/>
  <c r="AC357" i="3"/>
  <c r="AC358" i="3"/>
  <c r="AB350" i="3"/>
  <c r="AB351" i="3"/>
  <c r="AB352" i="3"/>
  <c r="AB353" i="3"/>
  <c r="AB354" i="3"/>
  <c r="AB355" i="3"/>
  <c r="AB356" i="3"/>
  <c r="AB357" i="3"/>
  <c r="AB358" i="3"/>
  <c r="AA350" i="3"/>
  <c r="AA351" i="3"/>
  <c r="AA352" i="3"/>
  <c r="AA353" i="3"/>
  <c r="AA354" i="3"/>
  <c r="AA355" i="3"/>
  <c r="AA356" i="3"/>
  <c r="AA357" i="3"/>
  <c r="AA358" i="3"/>
  <c r="Z350" i="3"/>
  <c r="Z351" i="3"/>
  <c r="Z352" i="3"/>
  <c r="Z353" i="3"/>
  <c r="Z354" i="3"/>
  <c r="Z355" i="3"/>
  <c r="Z356" i="3"/>
  <c r="Z357" i="3"/>
  <c r="Z358" i="3"/>
  <c r="Y350" i="3"/>
  <c r="Y351" i="3"/>
  <c r="Y352" i="3"/>
  <c r="Y353" i="3"/>
  <c r="Y354" i="3"/>
  <c r="Y355" i="3"/>
  <c r="Y356" i="3"/>
  <c r="Y357" i="3"/>
  <c r="Y358" i="3"/>
  <c r="X350" i="3"/>
  <c r="X351" i="3"/>
  <c r="X352" i="3"/>
  <c r="X353" i="3"/>
  <c r="X354" i="3"/>
  <c r="X355" i="3"/>
  <c r="X356" i="3"/>
  <c r="X357" i="3"/>
  <c r="X358" i="3"/>
  <c r="W350" i="3"/>
  <c r="W351" i="3"/>
  <c r="W352" i="3"/>
  <c r="W353" i="3"/>
  <c r="W354" i="3"/>
  <c r="W355" i="3"/>
  <c r="W356" i="3"/>
  <c r="W357" i="3"/>
  <c r="W358" i="3"/>
  <c r="V350" i="3"/>
  <c r="V351" i="3"/>
  <c r="V352" i="3"/>
  <c r="V353" i="3"/>
  <c r="V354" i="3"/>
  <c r="V355" i="3"/>
  <c r="V356" i="3"/>
  <c r="V357" i="3"/>
  <c r="V358" i="3"/>
  <c r="U350" i="3"/>
  <c r="U351" i="3"/>
  <c r="U352" i="3"/>
  <c r="U353" i="3"/>
  <c r="U354" i="3"/>
  <c r="U355" i="3"/>
  <c r="U356" i="3"/>
  <c r="U357" i="3"/>
  <c r="U358" i="3"/>
  <c r="T350" i="3"/>
  <c r="T351" i="3"/>
  <c r="T352" i="3"/>
  <c r="T353" i="3"/>
  <c r="T354" i="3"/>
  <c r="T355" i="3"/>
  <c r="T356" i="3"/>
  <c r="T357" i="3"/>
  <c r="T358" i="3"/>
  <c r="S350" i="3"/>
  <c r="S351" i="3"/>
  <c r="S352" i="3"/>
  <c r="S353" i="3"/>
  <c r="S354" i="3"/>
  <c r="S355" i="3"/>
  <c r="S356" i="3"/>
  <c r="S357" i="3"/>
  <c r="S358" i="3"/>
  <c r="R350" i="3"/>
  <c r="R351" i="3"/>
  <c r="R352" i="3"/>
  <c r="R353" i="3"/>
  <c r="R354" i="3"/>
  <c r="R355" i="3"/>
  <c r="R356" i="3"/>
  <c r="R357" i="3"/>
  <c r="R358" i="3"/>
  <c r="Q350" i="3"/>
  <c r="Q351" i="3"/>
  <c r="Q352" i="3"/>
  <c r="Q353" i="3"/>
  <c r="Q354" i="3"/>
  <c r="Q355" i="3"/>
  <c r="Q356" i="3"/>
  <c r="Q357" i="3"/>
  <c r="Q358" i="3"/>
  <c r="P350" i="3"/>
  <c r="P351" i="3"/>
  <c r="P352" i="3"/>
  <c r="P353" i="3"/>
  <c r="P354" i="3"/>
  <c r="P355" i="3"/>
  <c r="P356" i="3"/>
  <c r="P357" i="3"/>
  <c r="P358" i="3"/>
  <c r="O350" i="3"/>
  <c r="O351" i="3"/>
  <c r="O352" i="3"/>
  <c r="O353" i="3"/>
  <c r="O354" i="3"/>
  <c r="O355" i="3"/>
  <c r="O356" i="3"/>
  <c r="O357" i="3"/>
  <c r="O358" i="3"/>
  <c r="N350" i="3"/>
  <c r="N351" i="3"/>
  <c r="N352" i="3"/>
  <c r="N353" i="3"/>
  <c r="N354" i="3"/>
  <c r="N355" i="3"/>
  <c r="N356" i="3"/>
  <c r="N357" i="3"/>
  <c r="N358" i="3"/>
  <c r="M350" i="3"/>
  <c r="M351" i="3"/>
  <c r="M352" i="3"/>
  <c r="M353" i="3"/>
  <c r="M354" i="3"/>
  <c r="M355" i="3"/>
  <c r="M356" i="3"/>
  <c r="M357" i="3"/>
  <c r="M358" i="3"/>
  <c r="L350" i="3"/>
  <c r="L351" i="3"/>
  <c r="L352" i="3"/>
  <c r="L353" i="3"/>
  <c r="L354" i="3"/>
  <c r="L355" i="3"/>
  <c r="L356" i="3"/>
  <c r="L357" i="3"/>
  <c r="L358" i="3"/>
  <c r="K350" i="3"/>
  <c r="K351" i="3"/>
  <c r="K352" i="3"/>
  <c r="K353" i="3"/>
  <c r="K354" i="3"/>
  <c r="K355" i="3"/>
  <c r="K356" i="3"/>
  <c r="K357" i="3"/>
  <c r="K358" i="3"/>
  <c r="J350" i="3"/>
  <c r="J351" i="3"/>
  <c r="J352" i="3"/>
  <c r="J353" i="3"/>
  <c r="J354" i="3"/>
  <c r="J355" i="3"/>
  <c r="J356" i="3"/>
  <c r="J357" i="3"/>
  <c r="J358" i="3"/>
  <c r="I350" i="3"/>
  <c r="I351" i="3"/>
  <c r="I352" i="3"/>
  <c r="I353" i="3"/>
  <c r="I354" i="3"/>
  <c r="I355" i="3"/>
  <c r="I356" i="3"/>
  <c r="I357" i="3"/>
  <c r="I358" i="3"/>
  <c r="H350" i="3"/>
  <c r="H351" i="3"/>
  <c r="H352" i="3"/>
  <c r="H353" i="3"/>
  <c r="H354" i="3"/>
  <c r="H355" i="3"/>
  <c r="H356" i="3"/>
  <c r="H357" i="3"/>
  <c r="H358" i="3"/>
  <c r="G350" i="3"/>
  <c r="G351" i="3"/>
  <c r="G352" i="3"/>
  <c r="G353" i="3"/>
  <c r="G354" i="3"/>
  <c r="G355" i="3"/>
  <c r="G356" i="3"/>
  <c r="G357" i="3"/>
  <c r="G358" i="3"/>
  <c r="F350" i="3"/>
  <c r="F351" i="3"/>
  <c r="F352" i="3"/>
  <c r="F353" i="3"/>
  <c r="F354" i="3"/>
  <c r="F355" i="3"/>
  <c r="F356" i="3"/>
  <c r="F357" i="3"/>
  <c r="F358" i="3"/>
  <c r="E350" i="3"/>
  <c r="E351" i="3"/>
  <c r="E352" i="3"/>
  <c r="E353" i="3"/>
  <c r="E354" i="3"/>
  <c r="E355" i="3"/>
  <c r="E356" i="3"/>
  <c r="E357" i="3"/>
  <c r="E358" i="3"/>
  <c r="D350" i="3"/>
  <c r="D351" i="3"/>
  <c r="D352" i="3"/>
  <c r="D353" i="3"/>
  <c r="D354" i="3"/>
  <c r="D355" i="3"/>
  <c r="D356" i="3"/>
  <c r="D357" i="3"/>
  <c r="D358" i="3"/>
  <c r="C350" i="3"/>
  <c r="C351" i="3"/>
  <c r="C352" i="3"/>
  <c r="C353" i="3"/>
  <c r="C354" i="3"/>
  <c r="C355" i="3"/>
  <c r="C356" i="3"/>
  <c r="C357" i="3"/>
  <c r="C358" i="3"/>
  <c r="B350" i="3"/>
  <c r="B351" i="3"/>
  <c r="B352" i="3"/>
  <c r="B353" i="3"/>
  <c r="B354" i="3"/>
  <c r="B355" i="3"/>
  <c r="B356" i="3"/>
  <c r="B357" i="3"/>
  <c r="B358" i="3"/>
  <c r="F24" i="3"/>
  <c r="G24" i="3"/>
  <c r="H24" i="3"/>
  <c r="F33" i="3"/>
  <c r="G33" i="3"/>
  <c r="H33" i="3"/>
  <c r="F42" i="3"/>
  <c r="G42" i="3"/>
  <c r="H42" i="3"/>
  <c r="F44" i="3"/>
  <c r="G44" i="3"/>
  <c r="H44" i="3"/>
  <c r="F53" i="3"/>
  <c r="G53" i="3"/>
  <c r="H53" i="3"/>
  <c r="F62" i="3"/>
  <c r="G62" i="3"/>
  <c r="H62" i="3"/>
  <c r="F71" i="3"/>
  <c r="G71" i="3"/>
  <c r="H71" i="3"/>
  <c r="F80" i="3"/>
  <c r="G80" i="3"/>
  <c r="H80" i="3"/>
  <c r="F89" i="3"/>
  <c r="G89" i="3"/>
  <c r="H89" i="3"/>
  <c r="F98" i="3"/>
  <c r="G98" i="3"/>
  <c r="H98" i="3"/>
  <c r="F107" i="3"/>
  <c r="G107" i="3"/>
  <c r="H107" i="3"/>
  <c r="F116" i="3"/>
  <c r="G116" i="3"/>
  <c r="H116" i="3"/>
  <c r="F125" i="3"/>
  <c r="G125" i="3"/>
  <c r="H125" i="3"/>
  <c r="F134" i="3"/>
  <c r="G134" i="3"/>
  <c r="H134" i="3"/>
  <c r="F143" i="3"/>
  <c r="G143" i="3"/>
  <c r="H143" i="3"/>
  <c r="F152" i="3"/>
  <c r="G152" i="3"/>
  <c r="H152" i="3"/>
  <c r="F161" i="3"/>
  <c r="G161" i="3"/>
  <c r="H161" i="3"/>
  <c r="F170" i="3"/>
  <c r="G170" i="3"/>
  <c r="H170" i="3"/>
  <c r="F179" i="3"/>
  <c r="G179" i="3"/>
  <c r="H179" i="3"/>
  <c r="F188" i="3"/>
  <c r="G188" i="3"/>
  <c r="H188" i="3"/>
  <c r="F197" i="3"/>
  <c r="G197" i="3"/>
  <c r="H197" i="3"/>
  <c r="F206" i="3"/>
  <c r="G206" i="3"/>
  <c r="H206" i="3"/>
  <c r="F215" i="3"/>
  <c r="G215" i="3"/>
  <c r="H215" i="3"/>
  <c r="F224" i="3"/>
  <c r="G224" i="3"/>
  <c r="H224" i="3"/>
  <c r="F233" i="3"/>
  <c r="G233" i="3"/>
  <c r="H233" i="3"/>
  <c r="F242" i="3"/>
  <c r="G242" i="3"/>
  <c r="H242" i="3"/>
  <c r="F251" i="3"/>
  <c r="G251" i="3"/>
  <c r="H251" i="3"/>
  <c r="F260" i="3"/>
  <c r="G260" i="3"/>
  <c r="H260" i="3"/>
  <c r="F269" i="3"/>
  <c r="G269" i="3"/>
  <c r="H269" i="3"/>
  <c r="F278" i="3"/>
  <c r="G278" i="3"/>
  <c r="H278" i="3"/>
  <c r="F287" i="3"/>
  <c r="G287" i="3"/>
  <c r="H287" i="3"/>
  <c r="F296" i="3"/>
  <c r="G296" i="3"/>
  <c r="H296" i="3"/>
  <c r="F305" i="3"/>
  <c r="G305" i="3"/>
  <c r="H305" i="3"/>
  <c r="F314" i="3"/>
  <c r="G314" i="3"/>
  <c r="H314" i="3"/>
  <c r="F323" i="3"/>
  <c r="G323" i="3"/>
  <c r="H323" i="3"/>
  <c r="F332" i="3"/>
  <c r="G332" i="3"/>
  <c r="H332" i="3"/>
  <c r="F347" i="3"/>
  <c r="G347" i="3"/>
  <c r="H347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5" i="3"/>
  <c r="H26" i="3"/>
  <c r="H27" i="3"/>
  <c r="H28" i="3"/>
  <c r="H29" i="3"/>
  <c r="H30" i="3"/>
  <c r="H31" i="3"/>
  <c r="H32" i="3"/>
  <c r="H34" i="3"/>
  <c r="H35" i="3"/>
  <c r="H36" i="3"/>
  <c r="H37" i="3"/>
  <c r="H38" i="3"/>
  <c r="H39" i="3"/>
  <c r="H40" i="3"/>
  <c r="H41" i="3"/>
  <c r="H43" i="3"/>
  <c r="H45" i="3"/>
  <c r="H46" i="3"/>
  <c r="H47" i="3"/>
  <c r="H48" i="3"/>
  <c r="H49" i="3"/>
  <c r="H50" i="3"/>
  <c r="H51" i="3"/>
  <c r="H52" i="3"/>
  <c r="H54" i="3"/>
  <c r="H55" i="3"/>
  <c r="H56" i="3"/>
  <c r="H57" i="3"/>
  <c r="H58" i="3"/>
  <c r="H59" i="3"/>
  <c r="H60" i="3"/>
  <c r="H61" i="3"/>
  <c r="H63" i="3"/>
  <c r="H64" i="3"/>
  <c r="H65" i="3"/>
  <c r="H66" i="3"/>
  <c r="H67" i="3"/>
  <c r="H68" i="3"/>
  <c r="H69" i="3"/>
  <c r="H70" i="3"/>
  <c r="H72" i="3"/>
  <c r="H73" i="3"/>
  <c r="H74" i="3"/>
  <c r="H75" i="3"/>
  <c r="H76" i="3"/>
  <c r="H77" i="3"/>
  <c r="H78" i="3"/>
  <c r="H79" i="3"/>
  <c r="H81" i="3"/>
  <c r="H82" i="3"/>
  <c r="H83" i="3"/>
  <c r="H84" i="3"/>
  <c r="H85" i="3"/>
  <c r="H86" i="3"/>
  <c r="H87" i="3"/>
  <c r="H88" i="3"/>
  <c r="H90" i="3"/>
  <c r="H91" i="3"/>
  <c r="H92" i="3"/>
  <c r="H93" i="3"/>
  <c r="H94" i="3"/>
  <c r="H95" i="3"/>
  <c r="H96" i="3"/>
  <c r="H97" i="3"/>
  <c r="H99" i="3"/>
  <c r="H100" i="3"/>
  <c r="H101" i="3"/>
  <c r="H102" i="3"/>
  <c r="H103" i="3"/>
  <c r="H104" i="3"/>
  <c r="H105" i="3"/>
  <c r="H106" i="3"/>
  <c r="H108" i="3"/>
  <c r="H109" i="3"/>
  <c r="H110" i="3"/>
  <c r="H111" i="3"/>
  <c r="H112" i="3"/>
  <c r="H113" i="3"/>
  <c r="H114" i="3"/>
  <c r="H115" i="3"/>
  <c r="H117" i="3"/>
  <c r="H118" i="3"/>
  <c r="H119" i="3"/>
  <c r="H120" i="3"/>
  <c r="H121" i="3"/>
  <c r="H122" i="3"/>
  <c r="H123" i="3"/>
  <c r="H124" i="3"/>
  <c r="H126" i="3"/>
  <c r="H127" i="3"/>
  <c r="H128" i="3"/>
  <c r="H129" i="3"/>
  <c r="H130" i="3"/>
  <c r="H131" i="3"/>
  <c r="H132" i="3"/>
  <c r="H133" i="3"/>
  <c r="H135" i="3"/>
  <c r="H136" i="3"/>
  <c r="H137" i="3"/>
  <c r="H138" i="3"/>
  <c r="H139" i="3"/>
  <c r="H140" i="3"/>
  <c r="H141" i="3"/>
  <c r="H142" i="3"/>
  <c r="H144" i="3"/>
  <c r="H145" i="3"/>
  <c r="H146" i="3"/>
  <c r="H147" i="3"/>
  <c r="H148" i="3"/>
  <c r="H149" i="3"/>
  <c r="H150" i="3"/>
  <c r="H151" i="3"/>
  <c r="H153" i="3"/>
  <c r="H154" i="3"/>
  <c r="H155" i="3"/>
  <c r="H156" i="3"/>
  <c r="H157" i="3"/>
  <c r="H158" i="3"/>
  <c r="H159" i="3"/>
  <c r="H160" i="3"/>
  <c r="H162" i="3"/>
  <c r="H163" i="3"/>
  <c r="H164" i="3"/>
  <c r="H165" i="3"/>
  <c r="H166" i="3"/>
  <c r="H167" i="3"/>
  <c r="H168" i="3"/>
  <c r="H169" i="3"/>
  <c r="H171" i="3"/>
  <c r="H172" i="3"/>
  <c r="H173" i="3"/>
  <c r="H174" i="3"/>
  <c r="H175" i="3"/>
  <c r="H176" i="3"/>
  <c r="H177" i="3"/>
  <c r="H178" i="3"/>
  <c r="H180" i="3"/>
  <c r="H181" i="3"/>
  <c r="H182" i="3"/>
  <c r="H183" i="3"/>
  <c r="H184" i="3"/>
  <c r="H185" i="3"/>
  <c r="H186" i="3"/>
  <c r="H187" i="3"/>
  <c r="H189" i="3"/>
  <c r="H190" i="3"/>
  <c r="H191" i="3"/>
  <c r="H192" i="3"/>
  <c r="H193" i="3"/>
  <c r="H194" i="3"/>
  <c r="H195" i="3"/>
  <c r="H196" i="3"/>
  <c r="H198" i="3"/>
  <c r="H199" i="3"/>
  <c r="H200" i="3"/>
  <c r="H201" i="3"/>
  <c r="H202" i="3"/>
  <c r="H203" i="3"/>
  <c r="H204" i="3"/>
  <c r="H205" i="3"/>
  <c r="H207" i="3"/>
  <c r="H208" i="3"/>
  <c r="H209" i="3"/>
  <c r="H210" i="3"/>
  <c r="H211" i="3"/>
  <c r="H212" i="3"/>
  <c r="H213" i="3"/>
  <c r="H214" i="3"/>
  <c r="H216" i="3"/>
  <c r="H217" i="3"/>
  <c r="H218" i="3"/>
  <c r="H219" i="3"/>
  <c r="H220" i="3"/>
  <c r="H221" i="3"/>
  <c r="H222" i="3"/>
  <c r="H223" i="3"/>
  <c r="H225" i="3"/>
  <c r="H226" i="3"/>
  <c r="H227" i="3"/>
  <c r="H228" i="3"/>
  <c r="H229" i="3"/>
  <c r="H230" i="3"/>
  <c r="H231" i="3"/>
  <c r="H232" i="3"/>
  <c r="H234" i="3"/>
  <c r="H235" i="3"/>
  <c r="H236" i="3"/>
  <c r="H237" i="3"/>
  <c r="H238" i="3"/>
  <c r="H239" i="3"/>
  <c r="H240" i="3"/>
  <c r="H241" i="3"/>
  <c r="H243" i="3"/>
  <c r="H244" i="3"/>
  <c r="H245" i="3"/>
  <c r="H246" i="3"/>
  <c r="H247" i="3"/>
  <c r="H248" i="3"/>
  <c r="H249" i="3"/>
  <c r="H250" i="3"/>
  <c r="H252" i="3"/>
  <c r="H253" i="3"/>
  <c r="H254" i="3"/>
  <c r="H255" i="3"/>
  <c r="H256" i="3"/>
  <c r="H257" i="3"/>
  <c r="H258" i="3"/>
  <c r="H259" i="3"/>
  <c r="H261" i="3"/>
  <c r="H262" i="3"/>
  <c r="H263" i="3"/>
  <c r="H264" i="3"/>
  <c r="H265" i="3"/>
  <c r="H266" i="3"/>
  <c r="H267" i="3"/>
  <c r="H268" i="3"/>
  <c r="H270" i="3"/>
  <c r="H271" i="3"/>
  <c r="H272" i="3"/>
  <c r="H273" i="3"/>
  <c r="H274" i="3"/>
  <c r="H275" i="3"/>
  <c r="H276" i="3"/>
  <c r="H277" i="3"/>
  <c r="H279" i="3"/>
  <c r="H280" i="3"/>
  <c r="H281" i="3"/>
  <c r="H282" i="3"/>
  <c r="H283" i="3"/>
  <c r="H284" i="3"/>
  <c r="H285" i="3"/>
  <c r="H286" i="3"/>
  <c r="H288" i="3"/>
  <c r="H289" i="3"/>
  <c r="H290" i="3"/>
  <c r="H291" i="3"/>
  <c r="H292" i="3"/>
  <c r="H293" i="3"/>
  <c r="H294" i="3"/>
  <c r="H295" i="3"/>
  <c r="H297" i="3"/>
  <c r="H298" i="3"/>
  <c r="H299" i="3"/>
  <c r="H300" i="3"/>
  <c r="H301" i="3"/>
  <c r="H302" i="3"/>
  <c r="H303" i="3"/>
  <c r="H304" i="3"/>
  <c r="H306" i="3"/>
  <c r="H307" i="3"/>
  <c r="H308" i="3"/>
  <c r="H309" i="3"/>
  <c r="H310" i="3"/>
  <c r="H311" i="3"/>
  <c r="H312" i="3"/>
  <c r="H313" i="3"/>
  <c r="H315" i="3"/>
  <c r="H316" i="3"/>
  <c r="H317" i="3"/>
  <c r="H318" i="3"/>
  <c r="H319" i="3"/>
  <c r="H320" i="3"/>
  <c r="H321" i="3"/>
  <c r="H322" i="3"/>
  <c r="H324" i="3"/>
  <c r="H325" i="3"/>
  <c r="H326" i="3"/>
  <c r="H327" i="3"/>
  <c r="H328" i="3"/>
  <c r="H329" i="3"/>
  <c r="H330" i="3"/>
  <c r="H331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5" i="3"/>
  <c r="F26" i="3"/>
  <c r="F27" i="3"/>
  <c r="F28" i="3"/>
  <c r="F29" i="3"/>
  <c r="F30" i="3"/>
  <c r="F31" i="3"/>
  <c r="F32" i="3"/>
  <c r="F34" i="3"/>
  <c r="F35" i="3"/>
  <c r="F36" i="3"/>
  <c r="F37" i="3"/>
  <c r="F38" i="3"/>
  <c r="F39" i="3"/>
  <c r="F40" i="3"/>
  <c r="F41" i="3"/>
  <c r="F43" i="3"/>
  <c r="F45" i="3"/>
  <c r="F46" i="3"/>
  <c r="F47" i="3"/>
  <c r="F48" i="3"/>
  <c r="F49" i="3"/>
  <c r="F50" i="3"/>
  <c r="F51" i="3"/>
  <c r="F52" i="3"/>
  <c r="F54" i="3"/>
  <c r="F55" i="3"/>
  <c r="F56" i="3"/>
  <c r="F57" i="3"/>
  <c r="F58" i="3"/>
  <c r="F59" i="3"/>
  <c r="F60" i="3"/>
  <c r="F61" i="3"/>
  <c r="F63" i="3"/>
  <c r="F64" i="3"/>
  <c r="F65" i="3"/>
  <c r="F66" i="3"/>
  <c r="F67" i="3"/>
  <c r="F68" i="3"/>
  <c r="F69" i="3"/>
  <c r="F70" i="3"/>
  <c r="F72" i="3"/>
  <c r="F73" i="3"/>
  <c r="F74" i="3"/>
  <c r="F75" i="3"/>
  <c r="F76" i="3"/>
  <c r="F77" i="3"/>
  <c r="F78" i="3"/>
  <c r="F79" i="3"/>
  <c r="F81" i="3"/>
  <c r="F82" i="3"/>
  <c r="F83" i="3"/>
  <c r="F84" i="3"/>
  <c r="F85" i="3"/>
  <c r="F86" i="3"/>
  <c r="F87" i="3"/>
  <c r="F88" i="3"/>
  <c r="F90" i="3"/>
  <c r="F91" i="3"/>
  <c r="F92" i="3"/>
  <c r="F93" i="3"/>
  <c r="F94" i="3"/>
  <c r="F95" i="3"/>
  <c r="F96" i="3"/>
  <c r="F97" i="3"/>
  <c r="F99" i="3"/>
  <c r="F100" i="3"/>
  <c r="F101" i="3"/>
  <c r="F102" i="3"/>
  <c r="F103" i="3"/>
  <c r="F104" i="3"/>
  <c r="F105" i="3"/>
  <c r="F106" i="3"/>
  <c r="F108" i="3"/>
  <c r="F109" i="3"/>
  <c r="F110" i="3"/>
  <c r="F111" i="3"/>
  <c r="F112" i="3"/>
  <c r="F113" i="3"/>
  <c r="F114" i="3"/>
  <c r="F115" i="3"/>
  <c r="F117" i="3"/>
  <c r="F118" i="3"/>
  <c r="F119" i="3"/>
  <c r="F120" i="3"/>
  <c r="F121" i="3"/>
  <c r="F122" i="3"/>
  <c r="F123" i="3"/>
  <c r="F124" i="3"/>
  <c r="F126" i="3"/>
  <c r="F127" i="3"/>
  <c r="F128" i="3"/>
  <c r="F129" i="3"/>
  <c r="F130" i="3"/>
  <c r="F131" i="3"/>
  <c r="F132" i="3"/>
  <c r="F133" i="3"/>
  <c r="F135" i="3"/>
  <c r="F136" i="3"/>
  <c r="F137" i="3"/>
  <c r="F138" i="3"/>
  <c r="F139" i="3"/>
  <c r="F140" i="3"/>
  <c r="F141" i="3"/>
  <c r="F142" i="3"/>
  <c r="F144" i="3"/>
  <c r="F145" i="3"/>
  <c r="F146" i="3"/>
  <c r="F147" i="3"/>
  <c r="F148" i="3"/>
  <c r="F149" i="3"/>
  <c r="F150" i="3"/>
  <c r="F151" i="3"/>
  <c r="F153" i="3"/>
  <c r="F154" i="3"/>
  <c r="F155" i="3"/>
  <c r="F156" i="3"/>
  <c r="F157" i="3"/>
  <c r="F158" i="3"/>
  <c r="F159" i="3"/>
  <c r="F160" i="3"/>
  <c r="F162" i="3"/>
  <c r="F163" i="3"/>
  <c r="F164" i="3"/>
  <c r="F165" i="3"/>
  <c r="F166" i="3"/>
  <c r="F167" i="3"/>
  <c r="F168" i="3"/>
  <c r="F169" i="3"/>
  <c r="F171" i="3"/>
  <c r="F172" i="3"/>
  <c r="F173" i="3"/>
  <c r="F174" i="3"/>
  <c r="F175" i="3"/>
  <c r="F176" i="3"/>
  <c r="F177" i="3"/>
  <c r="F178" i="3"/>
  <c r="F180" i="3"/>
  <c r="F181" i="3"/>
  <c r="F182" i="3"/>
  <c r="F183" i="3"/>
  <c r="F184" i="3"/>
  <c r="F185" i="3"/>
  <c r="F186" i="3"/>
  <c r="F187" i="3"/>
  <c r="F189" i="3"/>
  <c r="F190" i="3"/>
  <c r="F191" i="3"/>
  <c r="F192" i="3"/>
  <c r="F193" i="3"/>
  <c r="F194" i="3"/>
  <c r="F195" i="3"/>
  <c r="F196" i="3"/>
  <c r="F198" i="3"/>
  <c r="F199" i="3"/>
  <c r="F200" i="3"/>
  <c r="F201" i="3"/>
  <c r="F202" i="3"/>
  <c r="F203" i="3"/>
  <c r="F204" i="3"/>
  <c r="F205" i="3"/>
  <c r="F207" i="3"/>
  <c r="F208" i="3"/>
  <c r="F209" i="3"/>
  <c r="F210" i="3"/>
  <c r="F211" i="3"/>
  <c r="F212" i="3"/>
  <c r="F213" i="3"/>
  <c r="F214" i="3"/>
  <c r="F216" i="3"/>
  <c r="F217" i="3"/>
  <c r="F218" i="3"/>
  <c r="F219" i="3"/>
  <c r="F220" i="3"/>
  <c r="F221" i="3"/>
  <c r="F222" i="3"/>
  <c r="F223" i="3"/>
  <c r="F225" i="3"/>
  <c r="F226" i="3"/>
  <c r="F227" i="3"/>
  <c r="F228" i="3"/>
  <c r="F229" i="3"/>
  <c r="F230" i="3"/>
  <c r="F231" i="3"/>
  <c r="F232" i="3"/>
  <c r="F234" i="3"/>
  <c r="F235" i="3"/>
  <c r="F236" i="3"/>
  <c r="F237" i="3"/>
  <c r="F238" i="3"/>
  <c r="F239" i="3"/>
  <c r="F240" i="3"/>
  <c r="F241" i="3"/>
  <c r="F243" i="3"/>
  <c r="F244" i="3"/>
  <c r="F245" i="3"/>
  <c r="F246" i="3"/>
  <c r="F247" i="3"/>
  <c r="F248" i="3"/>
  <c r="F249" i="3"/>
  <c r="F250" i="3"/>
  <c r="F252" i="3"/>
  <c r="F253" i="3"/>
  <c r="F254" i="3"/>
  <c r="F255" i="3"/>
  <c r="F256" i="3"/>
  <c r="F257" i="3"/>
  <c r="F258" i="3"/>
  <c r="F259" i="3"/>
  <c r="F261" i="3"/>
  <c r="F262" i="3"/>
  <c r="F263" i="3"/>
  <c r="F264" i="3"/>
  <c r="F265" i="3"/>
  <c r="F266" i="3"/>
  <c r="F267" i="3"/>
  <c r="F268" i="3"/>
  <c r="F270" i="3"/>
  <c r="F271" i="3"/>
  <c r="F272" i="3"/>
  <c r="F273" i="3"/>
  <c r="F274" i="3"/>
  <c r="F275" i="3"/>
  <c r="F276" i="3"/>
  <c r="F277" i="3"/>
  <c r="F279" i="3"/>
  <c r="F280" i="3"/>
  <c r="F281" i="3"/>
  <c r="F282" i="3"/>
  <c r="F283" i="3"/>
  <c r="F284" i="3"/>
  <c r="F285" i="3"/>
  <c r="F286" i="3"/>
  <c r="F288" i="3"/>
  <c r="F289" i="3"/>
  <c r="F290" i="3"/>
  <c r="F291" i="3"/>
  <c r="F292" i="3"/>
  <c r="F293" i="3"/>
  <c r="F294" i="3"/>
  <c r="F295" i="3"/>
  <c r="F297" i="3"/>
  <c r="F298" i="3"/>
  <c r="F299" i="3"/>
  <c r="F300" i="3"/>
  <c r="F301" i="3"/>
  <c r="F302" i="3"/>
  <c r="F303" i="3"/>
  <c r="F304" i="3"/>
  <c r="F306" i="3"/>
  <c r="F307" i="3"/>
  <c r="F308" i="3"/>
  <c r="F309" i="3"/>
  <c r="F310" i="3"/>
  <c r="F311" i="3"/>
  <c r="F312" i="3"/>
  <c r="F313" i="3"/>
  <c r="F315" i="3"/>
  <c r="F316" i="3"/>
  <c r="F317" i="3"/>
  <c r="F318" i="3"/>
  <c r="F319" i="3"/>
  <c r="F320" i="3"/>
  <c r="F321" i="3"/>
  <c r="F322" i="3"/>
  <c r="F324" i="3"/>
  <c r="F325" i="3"/>
  <c r="F326" i="3"/>
  <c r="F327" i="3"/>
  <c r="F328" i="3"/>
  <c r="F329" i="3"/>
  <c r="F330" i="3"/>
  <c r="F331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5" i="3"/>
  <c r="G26" i="3"/>
  <c r="G27" i="3"/>
  <c r="G28" i="3"/>
  <c r="G29" i="3"/>
  <c r="G30" i="3"/>
  <c r="G31" i="3"/>
  <c r="G32" i="3"/>
  <c r="G34" i="3"/>
  <c r="G35" i="3"/>
  <c r="G36" i="3"/>
  <c r="G37" i="3"/>
  <c r="G38" i="3"/>
  <c r="G39" i="3"/>
  <c r="G40" i="3"/>
  <c r="G41" i="3"/>
  <c r="G43" i="3"/>
  <c r="G45" i="3"/>
  <c r="G46" i="3"/>
  <c r="G47" i="3"/>
  <c r="G48" i="3"/>
  <c r="G49" i="3"/>
  <c r="G50" i="3"/>
  <c r="G51" i="3"/>
  <c r="G52" i="3"/>
  <c r="G54" i="3"/>
  <c r="G55" i="3"/>
  <c r="G56" i="3"/>
  <c r="G57" i="3"/>
  <c r="G58" i="3"/>
  <c r="G59" i="3"/>
  <c r="G60" i="3"/>
  <c r="G61" i="3"/>
  <c r="G63" i="3"/>
  <c r="G64" i="3"/>
  <c r="G65" i="3"/>
  <c r="G66" i="3"/>
  <c r="G67" i="3"/>
  <c r="G68" i="3"/>
  <c r="G69" i="3"/>
  <c r="G70" i="3"/>
  <c r="G72" i="3"/>
  <c r="G73" i="3"/>
  <c r="G74" i="3"/>
  <c r="G75" i="3"/>
  <c r="G76" i="3"/>
  <c r="G77" i="3"/>
  <c r="G78" i="3"/>
  <c r="G79" i="3"/>
  <c r="G81" i="3"/>
  <c r="G82" i="3"/>
  <c r="G83" i="3"/>
  <c r="G84" i="3"/>
  <c r="G85" i="3"/>
  <c r="G86" i="3"/>
  <c r="G87" i="3"/>
  <c r="G88" i="3"/>
  <c r="G90" i="3"/>
  <c r="G91" i="3"/>
  <c r="G92" i="3"/>
  <c r="G93" i="3"/>
  <c r="G94" i="3"/>
  <c r="G95" i="3"/>
  <c r="G96" i="3"/>
  <c r="G97" i="3"/>
  <c r="G99" i="3"/>
  <c r="G100" i="3"/>
  <c r="G101" i="3"/>
  <c r="G102" i="3"/>
  <c r="G103" i="3"/>
  <c r="G104" i="3"/>
  <c r="G105" i="3"/>
  <c r="G106" i="3"/>
  <c r="G108" i="3"/>
  <c r="G109" i="3"/>
  <c r="G110" i="3"/>
  <c r="G111" i="3"/>
  <c r="G112" i="3"/>
  <c r="G113" i="3"/>
  <c r="G114" i="3"/>
  <c r="G115" i="3"/>
  <c r="G117" i="3"/>
  <c r="G118" i="3"/>
  <c r="G119" i="3"/>
  <c r="G120" i="3"/>
  <c r="G121" i="3"/>
  <c r="G122" i="3"/>
  <c r="G123" i="3"/>
  <c r="G124" i="3"/>
  <c r="G126" i="3"/>
  <c r="G127" i="3"/>
  <c r="G128" i="3"/>
  <c r="G129" i="3"/>
  <c r="G130" i="3"/>
  <c r="G131" i="3"/>
  <c r="G132" i="3"/>
  <c r="G133" i="3"/>
  <c r="G135" i="3"/>
  <c r="G136" i="3"/>
  <c r="G137" i="3"/>
  <c r="G138" i="3"/>
  <c r="G139" i="3"/>
  <c r="G140" i="3"/>
  <c r="G141" i="3"/>
  <c r="G142" i="3"/>
  <c r="G144" i="3"/>
  <c r="G145" i="3"/>
  <c r="G146" i="3"/>
  <c r="G147" i="3"/>
  <c r="G148" i="3"/>
  <c r="G149" i="3"/>
  <c r="G150" i="3"/>
  <c r="G151" i="3"/>
  <c r="G153" i="3"/>
  <c r="G154" i="3"/>
  <c r="G155" i="3"/>
  <c r="G156" i="3"/>
  <c r="G157" i="3"/>
  <c r="G158" i="3"/>
  <c r="G159" i="3"/>
  <c r="G160" i="3"/>
  <c r="G162" i="3"/>
  <c r="G163" i="3"/>
  <c r="G164" i="3"/>
  <c r="G165" i="3"/>
  <c r="G166" i="3"/>
  <c r="G167" i="3"/>
  <c r="G168" i="3"/>
  <c r="G169" i="3"/>
  <c r="G171" i="3"/>
  <c r="G172" i="3"/>
  <c r="G173" i="3"/>
  <c r="G174" i="3"/>
  <c r="G175" i="3"/>
  <c r="G176" i="3"/>
  <c r="G177" i="3"/>
  <c r="G178" i="3"/>
  <c r="G180" i="3"/>
  <c r="G181" i="3"/>
  <c r="G182" i="3"/>
  <c r="G183" i="3"/>
  <c r="G184" i="3"/>
  <c r="G185" i="3"/>
  <c r="G186" i="3"/>
  <c r="G187" i="3"/>
  <c r="G189" i="3"/>
  <c r="G190" i="3"/>
  <c r="G191" i="3"/>
  <c r="G192" i="3"/>
  <c r="G193" i="3"/>
  <c r="G194" i="3"/>
  <c r="G195" i="3"/>
  <c r="G196" i="3"/>
  <c r="G198" i="3"/>
  <c r="G199" i="3"/>
  <c r="G200" i="3"/>
  <c r="G201" i="3"/>
  <c r="G202" i="3"/>
  <c r="G203" i="3"/>
  <c r="G204" i="3"/>
  <c r="G205" i="3"/>
  <c r="G207" i="3"/>
  <c r="G208" i="3"/>
  <c r="G209" i="3"/>
  <c r="G210" i="3"/>
  <c r="G211" i="3"/>
  <c r="G212" i="3"/>
  <c r="G213" i="3"/>
  <c r="G214" i="3"/>
  <c r="G216" i="3"/>
  <c r="G217" i="3"/>
  <c r="G218" i="3"/>
  <c r="G219" i="3"/>
  <c r="G220" i="3"/>
  <c r="G221" i="3"/>
  <c r="G222" i="3"/>
  <c r="G223" i="3"/>
  <c r="G225" i="3"/>
  <c r="G226" i="3"/>
  <c r="G227" i="3"/>
  <c r="G228" i="3"/>
  <c r="G229" i="3"/>
  <c r="G230" i="3"/>
  <c r="G231" i="3"/>
  <c r="G232" i="3"/>
  <c r="G234" i="3"/>
  <c r="G235" i="3"/>
  <c r="G236" i="3"/>
  <c r="G237" i="3"/>
  <c r="G238" i="3"/>
  <c r="G239" i="3"/>
  <c r="G240" i="3"/>
  <c r="G241" i="3"/>
  <c r="G243" i="3"/>
  <c r="G244" i="3"/>
  <c r="G245" i="3"/>
  <c r="G246" i="3"/>
  <c r="G247" i="3"/>
  <c r="G248" i="3"/>
  <c r="G249" i="3"/>
  <c r="G250" i="3"/>
  <c r="G252" i="3"/>
  <c r="G253" i="3"/>
  <c r="G254" i="3"/>
  <c r="G255" i="3"/>
  <c r="G256" i="3"/>
  <c r="G257" i="3"/>
  <c r="G258" i="3"/>
  <c r="G259" i="3"/>
  <c r="G261" i="3"/>
  <c r="G262" i="3"/>
  <c r="G263" i="3"/>
  <c r="G264" i="3"/>
  <c r="G265" i="3"/>
  <c r="G266" i="3"/>
  <c r="G267" i="3"/>
  <c r="G268" i="3"/>
  <c r="G270" i="3"/>
  <c r="G271" i="3"/>
  <c r="G272" i="3"/>
  <c r="G273" i="3"/>
  <c r="G274" i="3"/>
  <c r="G275" i="3"/>
  <c r="G276" i="3"/>
  <c r="G277" i="3"/>
  <c r="G279" i="3"/>
  <c r="G280" i="3"/>
  <c r="G281" i="3"/>
  <c r="G282" i="3"/>
  <c r="G283" i="3"/>
  <c r="G284" i="3"/>
  <c r="G285" i="3"/>
  <c r="G286" i="3"/>
  <c r="G288" i="3"/>
  <c r="G289" i="3"/>
  <c r="G290" i="3"/>
  <c r="G291" i="3"/>
  <c r="G292" i="3"/>
  <c r="G293" i="3"/>
  <c r="G294" i="3"/>
  <c r="G295" i="3"/>
  <c r="G297" i="3"/>
  <c r="G298" i="3"/>
  <c r="G299" i="3"/>
  <c r="G300" i="3"/>
  <c r="G301" i="3"/>
  <c r="G302" i="3"/>
  <c r="G303" i="3"/>
  <c r="G304" i="3"/>
  <c r="G306" i="3"/>
  <c r="G307" i="3"/>
  <c r="G308" i="3"/>
  <c r="G309" i="3"/>
  <c r="G310" i="3"/>
  <c r="G311" i="3"/>
  <c r="G312" i="3"/>
  <c r="G313" i="3"/>
  <c r="G315" i="3"/>
  <c r="G316" i="3"/>
  <c r="G317" i="3"/>
  <c r="G318" i="3"/>
  <c r="G319" i="3"/>
  <c r="G320" i="3"/>
  <c r="G321" i="3"/>
  <c r="G322" i="3"/>
  <c r="G324" i="3"/>
  <c r="G325" i="3"/>
  <c r="G326" i="3"/>
  <c r="G327" i="3"/>
  <c r="G328" i="3"/>
  <c r="G329" i="3"/>
  <c r="G330" i="3"/>
  <c r="G331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A10" i="2" l="1" a="1"/>
  <c r="A10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8167BF-923C-4223-B07C-980D54119E83}" keepAlive="1" name="Query - geo_data" description="Connection to the 'geo_data' query in the workbook." type="5" refreshedVersion="8" background="1">
    <dbPr connection="Provider=Microsoft.Mashup.OleDb.1;Data Source=$Workbook$;Location=geo_data;Extended Properties=&quot;&quot;" command="SELECT * FROM [geo_data]"/>
  </connection>
  <connection id="2" xr16:uid="{19B032A4-8DDE-461B-AE71-38295E7F6F6F}" keepAlive="1" name="Query - geo_data_by_year" description="Connection to the 'geo_data_by_year' query in the workbook." type="5" refreshedVersion="8" background="1">
    <dbPr connection="Provider=Microsoft.Mashup.OleDb.1;Data Source=$Workbook$;Location=geo_data_by_year;Extended Properties=&quot;&quot;" command="SELECT * FROM [geo_data_by_year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<sst xmlns="http://schemas.openxmlformats.org/spreadsheetml/2006/main" count="394" uniqueCount="51">
  <si>
    <t>year selector:</t>
  </si>
  <si>
    <t>years 2014 to 2022</t>
  </si>
  <si>
    <t>CNTR_ID</t>
  </si>
  <si>
    <t>norm_GDP</t>
  </si>
  <si>
    <t>population_rate</t>
  </si>
  <si>
    <t>erasmus_rate</t>
  </si>
  <si>
    <t>year</t>
  </si>
  <si>
    <t>n</t>
  </si>
  <si>
    <t>population_rec</t>
  </si>
  <si>
    <t>gdp_value_rec</t>
  </si>
  <si>
    <t>participation_rate_to_population</t>
  </si>
  <si>
    <t>participation_rate_to_erasmus</t>
  </si>
  <si>
    <t>AL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</si>
  <si>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</si>
  <si>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</si>
  <si>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</si>
  <si>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</si>
  <si>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</si>
  <si>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</si>
  <si>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</si>
  <si>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</si>
  <si>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</si>
  <si>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</si>
  <si>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</si>
  <si>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</si>
  <si>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HR</t>
  </si>
  <si>
    <t>HU</t>
  </si>
  <si>
    <t>IE</t>
  </si>
  <si>
    <t>IS</t>
  </si>
  <si>
    <t>IT</t>
  </si>
  <si>
    <t>LI</t>
  </si>
  <si>
    <t>LT</t>
  </si>
  <si>
    <t>LU</t>
  </si>
  <si>
    <t>LV</t>
  </si>
  <si>
    <t>MD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</si>
  <si>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</si>
  <si>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</si>
  <si>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</si>
  <si>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</si>
  <si>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</si>
  <si>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</si>
  <si>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</si>
  <si>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</si>
  <si>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</si>
  <si>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</si>
  <si>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</si>
  <si>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</si>
  <si>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TR</t>
  </si>
  <si>
    <t>UA</t>
  </si>
  <si>
    <t>UK</t>
  </si>
  <si>
    <t>XK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</si>
</sst>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 tint="0.249977111117893"/>
      <name val="Verdana"/>
    </font>
    <font>
      <sz val="11"/>
      <color rgb="FF000000"/>
      <name val="Verdana"/>
    </font>
    <font>
      <b/>
      <sz val="11"/>
      <color rgb="FF000000"/>
      <name val="Verdana"/>
    </font>
    <font>
      <b/>
      <sz val="11"/>
      <color theme="1" tint="0.249977111117893"/>
      <name val="Verdana"/>
    </font>
    <font>
      <u/>
      <sz val="11"/>
      <color theme="10"/>
      <name val="Calibri"/>
      <family val="2"/>
      <scheme val="minor"/>
    </font>
    <font>
      <sz val="11"/>
      <color theme="1"/>
      <name val="Verdana"/>
    </font>
    <font>
      <b/>
      <sz val="16"/>
      <color rgb="FF000000"/>
      <name val="Verdana"/>
      <charset val="1"/>
    </font>
    <font>
      <sz val="16"/>
      <color rgb="FF015373"/>
      <name val="Verdana"/>
    </font>
    <font>
      <b/>
      <sz val="16"/>
      <color rgb="FF000000"/>
      <name val="Calibri"/>
      <scheme val="minor"/>
    </font>
    <font>
      <b/>
      <sz val="11"/>
      <color theme="1"/>
      <name val="Verdan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7ECF5"/>
        <bgColor indexed="64"/>
      </patternFill>
    </fill>
    <fill>
      <patternFill patternType="solid">
        <fgColor rgb="FFDEF5D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ashed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0" fontId="3" fillId="2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1" fillId="3" borderId="0" xfId="0" applyFont="1" applyFill="1"/>
    <xf numFmtId="0" fontId="3" fillId="2" borderId="0" xfId="0" applyFont="1" applyFill="1" applyAlignment="1">
      <alignment horizontal="center"/>
    </xf>
    <xf numFmtId="2" fontId="4" fillId="0" borderId="0" xfId="0" applyNumberFormat="1" applyFont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3" borderId="0" xfId="0" applyFont="1" applyFill="1"/>
    <xf numFmtId="0" fontId="0" fillId="4" borderId="0" xfId="0" applyFill="1"/>
    <xf numFmtId="0" fontId="8" fillId="4" borderId="0" xfId="0" applyFont="1" applyFill="1" applyAlignment="1">
      <alignment vertical="center"/>
    </xf>
    <xf numFmtId="0" fontId="8" fillId="4" borderId="2" xfId="0" applyFont="1" applyFill="1" applyBorder="1" applyAlignment="1">
      <alignment horizontal="center" vertical="center"/>
    </xf>
    <xf numFmtId="0" fontId="0" fillId="5" borderId="0" xfId="0" applyFill="1"/>
    <xf numFmtId="0" fontId="6" fillId="5" borderId="0" xfId="0" applyFont="1" applyFill="1"/>
    <xf numFmtId="0" fontId="7" fillId="4" borderId="0" xfId="0" applyFont="1" applyFill="1" applyAlignment="1">
      <alignment horizontal="right" vertical="center"/>
    </xf>
    <xf numFmtId="0" fontId="9" fillId="5" borderId="0" xfId="0" applyFont="1" applyFill="1" applyAlignment="1">
      <alignment horizontal="center"/>
    </xf>
    <xf numFmtId="0" fontId="6" fillId="0" borderId="0" xfId="0" applyFont="1" applyAlignment="1">
      <alignment wrapText="1"/>
    </xf>
    <xf numFmtId="0" fontId="10" fillId="0" borderId="1" xfId="0" applyFont="1" applyBorder="1"/>
    <xf numFmtId="0" fontId="6" fillId="2" borderId="1" xfId="0" applyFont="1" applyFill="1" applyBorder="1" applyAlignment="1">
      <alignment horizontal="center"/>
    </xf>
    <xf numFmtId="0" fontId="0" fillId="2" borderId="0" xfId="0" applyFill="1"/>
    <xf numFmtId="2" fontId="6" fillId="2" borderId="0" xfId="0" applyNumberFormat="1" applyFont="1" applyFill="1"/>
    <xf numFmtId="2" fontId="2" fillId="2" borderId="0" xfId="1" applyNumberFormat="1" applyFont="1" applyFill="1"/>
  </cellXfs>
  <cellStyles count="2">
    <cellStyle name="Hyperlink" xfId="1" builtinId="8"/>
    <cellStyle name="Normal" xfId="0" builtinId="0"/>
  </cellStyles>
  <dxfs count="54"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  <numFmt numFmtId="0" formatCode="General"/>
    </dxf>
    <dxf>
      <font>
        <name val="Verdana"/>
      </font>
    </dxf>
    <dxf>
      <border>
        <bottom style="thin">
          <color rgb="FF000000"/>
        </bottom>
      </border>
    </dxf>
    <dxf>
      <font>
        <name val="Verdana"/>
      </font>
    </dxf>
    <dxf>
      <font>
        <b/>
        <name val="Verdana"/>
      </font>
    </dxf>
    <dxf>
      <font>
        <color theme="1" tint="0.249977111117893"/>
        <name val="Verdana"/>
      </font>
      <numFmt numFmtId="2" formatCode="0.00"/>
      <alignment wrapText="0"/>
    </dxf>
    <dxf>
      <font>
        <color theme="1" tint="0.249977111117893"/>
        <name val="Verdana"/>
      </font>
      <numFmt numFmtId="2" formatCode="0.00"/>
      <alignment wrapText="0"/>
    </dxf>
    <dxf>
      <font>
        <color theme="1" tint="0.249977111117893"/>
        <name val="Verdana"/>
      </font>
      <numFmt numFmtId="2" formatCode="0.00"/>
      <alignment wrapText="0"/>
    </dxf>
    <dxf>
      <font>
        <color theme="1" tint="0.249977111117893"/>
        <name val="Verdana"/>
      </font>
      <alignment wrapText="0"/>
    </dxf>
    <dxf>
      <font>
        <color theme="1" tint="0.249977111117893"/>
        <name val="Verdana"/>
      </font>
      <alignment wrapText="0"/>
    </dxf>
    <dxf>
      <font>
        <color theme="1" tint="0.249977111117893"/>
        <name val="Verdana"/>
      </font>
      <numFmt numFmtId="1" formatCode="0"/>
      <alignment wrapText="0"/>
    </dxf>
    <dxf>
      <font>
        <color theme="1" tint="0.249977111117893"/>
        <name val="Verdana"/>
      </font>
      <alignment wrapText="0"/>
    </dxf>
    <dxf>
      <font>
        <color theme="1" tint="0.249977111117893"/>
        <name val="Verdana"/>
      </font>
      <numFmt numFmtId="0" formatCode="General"/>
      <fill>
        <patternFill patternType="solid">
          <fgColor indexed="64"/>
          <bgColor theme="0" tint="-4.9989318521683403E-2"/>
        </patternFill>
      </fill>
      <alignment wrapText="0"/>
    </dxf>
    <dxf>
      <border>
        <bottom style="thin">
          <color rgb="FF000000"/>
        </bottom>
      </border>
    </dxf>
    <dxf>
      <border>
        <left/>
        <right/>
        <top/>
        <bottom/>
      </border>
    </dxf>
    <dxf>
      <font>
        <color theme="1" tint="0.249977111117893"/>
        <name val="Verdana"/>
      </font>
      <alignment wrapText="0"/>
    </dxf>
    <dxf>
      <font>
        <b/>
        <color rgb="FF000000"/>
        <name val="Verdana"/>
      </font>
      <fill>
        <patternFill patternType="solid">
          <fgColor indexed="64"/>
          <bgColor theme="0"/>
        </patternFill>
      </fill>
      <alignment horizontal="center" wrapText="0"/>
    </dxf>
  </dxfs>
  <tableStyles count="0" defaultTableStyle="TableStyleMedium2" defaultPivotStyle="PivotStyleMedium9"/>
  <colors>
    <mruColors>
      <color rgb="FFDEF5D7"/>
      <color rgb="FFD7ECF5"/>
      <color rgb="FF0153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of participants by country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1"/>
          <c:order val="0"/>
          <c:tx>
            <c:v>Erasmus+ participant share to total population by country</c:v>
          </c:tx>
          <c:cat>
            <c:strRef>
              <c:f>visualisations!$A$10:$A$46</c:f>
              <c:strCache>
                <c:ptCount val="37"/>
                <c:pt idx="0">
                  <c:v>AL</c:v>
                </c:pt>
                <c:pt idx="1">
                  <c:v>AT</c:v>
                </c:pt>
                <c:pt idx="2">
                  <c:v>BE</c:v>
                </c:pt>
                <c:pt idx="3">
                  <c:v>BG</c:v>
                </c:pt>
                <c:pt idx="4">
                  <c:v>CY</c:v>
                </c:pt>
                <c:pt idx="5">
                  <c:v>CZ</c:v>
                </c:pt>
                <c:pt idx="6">
                  <c:v>DE</c:v>
                </c:pt>
                <c:pt idx="7">
                  <c:v>DK</c:v>
                </c:pt>
                <c:pt idx="8">
                  <c:v>EE</c:v>
                </c:pt>
                <c:pt idx="9">
                  <c:v>ES</c:v>
                </c:pt>
                <c:pt idx="10">
                  <c:v>FI</c:v>
                </c:pt>
                <c:pt idx="11">
                  <c:v>FR</c:v>
                </c:pt>
                <c:pt idx="12">
                  <c:v>HR</c:v>
                </c:pt>
                <c:pt idx="13">
                  <c:v>HU</c:v>
                </c:pt>
                <c:pt idx="14">
                  <c:v>IE</c:v>
                </c:pt>
                <c:pt idx="15">
                  <c:v>IS</c:v>
                </c:pt>
                <c:pt idx="16">
                  <c:v>IT</c:v>
                </c:pt>
                <c:pt idx="17">
                  <c:v>LI</c:v>
                </c:pt>
                <c:pt idx="18">
                  <c:v>LT</c:v>
                </c:pt>
                <c:pt idx="19">
                  <c:v>LU</c:v>
                </c:pt>
                <c:pt idx="20">
                  <c:v>LV</c:v>
                </c:pt>
                <c:pt idx="21">
                  <c:v>MD</c:v>
                </c:pt>
                <c:pt idx="22">
                  <c:v>ME</c:v>
                </c:pt>
                <c:pt idx="23">
                  <c:v>MK</c:v>
                </c:pt>
                <c:pt idx="24">
                  <c:v>MT</c:v>
                </c:pt>
                <c:pt idx="25">
                  <c:v>NL</c:v>
                </c:pt>
                <c:pt idx="26">
                  <c:v>NO</c:v>
                </c:pt>
                <c:pt idx="27">
                  <c:v>PL</c:v>
                </c:pt>
                <c:pt idx="28">
                  <c:v>PT</c:v>
                </c:pt>
                <c:pt idx="29">
                  <c:v>RO</c:v>
                </c:pt>
                <c:pt idx="30">
                  <c:v>RS</c:v>
                </c:pt>
                <c:pt idx="31">
                  <c:v>SE</c:v>
                </c:pt>
                <c:pt idx="32">
                  <c:v>SI</c:v>
                </c:pt>
                <c:pt idx="33">
                  <c:v>SK</c:v>
                </c:pt>
                <c:pt idx="34">
                  <c:v>TR</c:v>
                </c:pt>
                <c:pt idx="35">
                  <c:v>UA</c:v>
                </c:pt>
                <c:pt idx="36">
                  <c:v>XK</c:v>
                </c:pt>
              </c:strCache>
            </c:strRef>
          </c:cat>
          <c:val>
            <c:numRef>
              <c:f>visualisations!$C$10:$C$46</c:f>
              <c:numCache>
                <c:formatCode>0.00</c:formatCode>
                <c:ptCount val="37"/>
                <c:pt idx="0">
                  <c:v>3.0144101527312922E-2</c:v>
                </c:pt>
                <c:pt idx="1">
                  <c:v>8.5405652781745736E-2</c:v>
                </c:pt>
                <c:pt idx="2">
                  <c:v>9.516418634837033E-2</c:v>
                </c:pt>
                <c:pt idx="3">
                  <c:v>0.11152586519806672</c:v>
                </c:pt>
                <c:pt idx="4">
                  <c:v>9.2183939217650321E-2</c:v>
                </c:pt>
                <c:pt idx="5">
                  <c:v>0.10324125122107672</c:v>
                </c:pt>
                <c:pt idx="6">
                  <c:v>4.9858679025686373E-2</c:v>
                </c:pt>
                <c:pt idx="7">
                  <c:v>7.258505713568987E-2</c:v>
                </c:pt>
                <c:pt idx="8">
                  <c:v>0.21277107636602038</c:v>
                </c:pt>
                <c:pt idx="9">
                  <c:v>0.11452127873459007</c:v>
                </c:pt>
                <c:pt idx="10">
                  <c:v>4.9568171415157736E-2</c:v>
                </c:pt>
                <c:pt idx="11">
                  <c:v>7.4453072741771237E-2</c:v>
                </c:pt>
                <c:pt idx="12">
                  <c:v>0.11230338559259559</c:v>
                </c:pt>
                <c:pt idx="13">
                  <c:v>8.1676753395159549E-2</c:v>
                </c:pt>
                <c:pt idx="14">
                  <c:v>7.4641402532084261E-2</c:v>
                </c:pt>
                <c:pt idx="15">
                  <c:v>0.13015466712943882</c:v>
                </c:pt>
                <c:pt idx="16">
                  <c:v>8.1426542240301561E-2</c:v>
                </c:pt>
                <c:pt idx="17">
                  <c:v>0.15875048009217771</c:v>
                </c:pt>
                <c:pt idx="18">
                  <c:v>0.28810702866590221</c:v>
                </c:pt>
                <c:pt idx="19">
                  <c:v>7.1211381217210462E-2</c:v>
                </c:pt>
                <c:pt idx="20">
                  <c:v>0.23673914800316712</c:v>
                </c:pt>
                <c:pt idx="21">
                  <c:v>1.7967412787123986E-2</c:v>
                </c:pt>
                <c:pt idx="22">
                  <c:v>5.0907063999523154E-2</c:v>
                </c:pt>
                <c:pt idx="23">
                  <c:v>0.12780306340656067</c:v>
                </c:pt>
                <c:pt idx="24">
                  <c:v>0.15519496246064424</c:v>
                </c:pt>
                <c:pt idx="25">
                  <c:v>6.5560674810870023E-2</c:v>
                </c:pt>
                <c:pt idx="26">
                  <c:v>5.8333977882055556E-2</c:v>
                </c:pt>
                <c:pt idx="27">
                  <c:v>6.7393411392445521E-2</c:v>
                </c:pt>
                <c:pt idx="28">
                  <c:v>0.12624230383257279</c:v>
                </c:pt>
                <c:pt idx="29">
                  <c:v>9.1872255641204395E-2</c:v>
                </c:pt>
                <c:pt idx="30">
                  <c:v>3.0429828974465285E-2</c:v>
                </c:pt>
                <c:pt idx="31">
                  <c:v>4.7007046239653079E-2</c:v>
                </c:pt>
                <c:pt idx="32">
                  <c:v>0.18568244224569541</c:v>
                </c:pt>
                <c:pt idx="33">
                  <c:v>0.11238546014940892</c:v>
                </c:pt>
                <c:pt idx="34">
                  <c:v>2.7323057251815181E-2</c:v>
                </c:pt>
                <c:pt idx="35">
                  <c:v>5.0073979838631891E-3</c:v>
                </c:pt>
                <c:pt idx="36">
                  <c:v>2.6193063453947479E-2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96-4A72-9E08-720EA604223F}"/>
            </c:ext>
          </c:extLst>
        </c:ser>
        <c:ser>
          <c:idx val="2"/>
          <c:order val="1"/>
          <c:tx>
            <c:v>Erasmus+ participant share by country</c:v>
          </c:tx>
          <c:cat>
            <c:strRef>
              <c:f>visualisations!$A$10:$A$46</c:f>
              <c:strCache>
                <c:ptCount val="37"/>
                <c:pt idx="0">
                  <c:v>AL</c:v>
                </c:pt>
                <c:pt idx="1">
                  <c:v>AT</c:v>
                </c:pt>
                <c:pt idx="2">
                  <c:v>BE</c:v>
                </c:pt>
                <c:pt idx="3">
                  <c:v>BG</c:v>
                </c:pt>
                <c:pt idx="4">
                  <c:v>CY</c:v>
                </c:pt>
                <c:pt idx="5">
                  <c:v>CZ</c:v>
                </c:pt>
                <c:pt idx="6">
                  <c:v>DE</c:v>
                </c:pt>
                <c:pt idx="7">
                  <c:v>DK</c:v>
                </c:pt>
                <c:pt idx="8">
                  <c:v>EE</c:v>
                </c:pt>
                <c:pt idx="9">
                  <c:v>ES</c:v>
                </c:pt>
                <c:pt idx="10">
                  <c:v>FI</c:v>
                </c:pt>
                <c:pt idx="11">
                  <c:v>FR</c:v>
                </c:pt>
                <c:pt idx="12">
                  <c:v>HR</c:v>
                </c:pt>
                <c:pt idx="13">
                  <c:v>HU</c:v>
                </c:pt>
                <c:pt idx="14">
                  <c:v>IE</c:v>
                </c:pt>
                <c:pt idx="15">
                  <c:v>IS</c:v>
                </c:pt>
                <c:pt idx="16">
                  <c:v>IT</c:v>
                </c:pt>
                <c:pt idx="17">
                  <c:v>LI</c:v>
                </c:pt>
                <c:pt idx="18">
                  <c:v>LT</c:v>
                </c:pt>
                <c:pt idx="19">
                  <c:v>LU</c:v>
                </c:pt>
                <c:pt idx="20">
                  <c:v>LV</c:v>
                </c:pt>
                <c:pt idx="21">
                  <c:v>MD</c:v>
                </c:pt>
                <c:pt idx="22">
                  <c:v>ME</c:v>
                </c:pt>
                <c:pt idx="23">
                  <c:v>MK</c:v>
                </c:pt>
                <c:pt idx="24">
                  <c:v>MT</c:v>
                </c:pt>
                <c:pt idx="25">
                  <c:v>NL</c:v>
                </c:pt>
                <c:pt idx="26">
                  <c:v>NO</c:v>
                </c:pt>
                <c:pt idx="27">
                  <c:v>PL</c:v>
                </c:pt>
                <c:pt idx="28">
                  <c:v>PT</c:v>
                </c:pt>
                <c:pt idx="29">
                  <c:v>RO</c:v>
                </c:pt>
                <c:pt idx="30">
                  <c:v>RS</c:v>
                </c:pt>
                <c:pt idx="31">
                  <c:v>SE</c:v>
                </c:pt>
                <c:pt idx="32">
                  <c:v>SI</c:v>
                </c:pt>
                <c:pt idx="33">
                  <c:v>SK</c:v>
                </c:pt>
                <c:pt idx="34">
                  <c:v>TR</c:v>
                </c:pt>
                <c:pt idx="35">
                  <c:v>UA</c:v>
                </c:pt>
                <c:pt idx="36">
                  <c:v>XK</c:v>
                </c:pt>
              </c:strCache>
            </c:strRef>
          </c:cat>
          <c:val>
            <c:numRef>
              <c:f>visualisations!$D$10:$D$46</c:f>
              <c:numCache>
                <c:formatCode>0.00</c:formatCode>
                <c:ptCount val="37"/>
                <c:pt idx="0">
                  <c:v>0.2191298003683847</c:v>
                </c:pt>
                <c:pt idx="1">
                  <c:v>1.9598373352994216</c:v>
                </c:pt>
                <c:pt idx="2">
                  <c:v>2.8247963480079226</c:v>
                </c:pt>
                <c:pt idx="3">
                  <c:v>1.8714661145177989</c:v>
                </c:pt>
                <c:pt idx="4">
                  <c:v>0.21656086953170958</c:v>
                </c:pt>
                <c:pt idx="5">
                  <c:v>2.7834365615374534</c:v>
                </c:pt>
                <c:pt idx="6">
                  <c:v>10.6507872488549</c:v>
                </c:pt>
                <c:pt idx="7">
                  <c:v>1.0889697816665682</c:v>
                </c:pt>
                <c:pt idx="8">
                  <c:v>0.72700742677904884</c:v>
                </c:pt>
                <c:pt idx="9">
                  <c:v>13.945184153807027</c:v>
                </c:pt>
                <c:pt idx="10">
                  <c:v>0.70465772849997554</c:v>
                </c:pt>
                <c:pt idx="11">
                  <c:v>12.954090637017778</c:v>
                </c:pt>
                <c:pt idx="12">
                  <c:v>1.1231365617943467</c:v>
                </c:pt>
                <c:pt idx="13">
                  <c:v>2.0250881785509689</c:v>
                </c:pt>
                <c:pt idx="14">
                  <c:v>0.9715696424305168</c:v>
                </c:pt>
                <c:pt idx="15">
                  <c:v>0.12330868016040405</c:v>
                </c:pt>
                <c:pt idx="16">
                  <c:v>12.390980997618602</c:v>
                </c:pt>
                <c:pt idx="17">
                  <c:v>1.5927371187385523E-2</c:v>
                </c:pt>
                <c:pt idx="18">
                  <c:v>2.0803201915394833</c:v>
                </c:pt>
                <c:pt idx="19">
                  <c:v>0.11611567381771382</c:v>
                </c:pt>
                <c:pt idx="20">
                  <c:v>1.1513948009977726</c:v>
                </c:pt>
                <c:pt idx="21">
                  <c:v>0.1220242147420665</c:v>
                </c:pt>
                <c:pt idx="22">
                  <c:v>8.1178214438932667E-2</c:v>
                </c:pt>
                <c:pt idx="23">
                  <c:v>0.67922531321689228</c:v>
                </c:pt>
                <c:pt idx="24">
                  <c:v>0.20577136001767427</c:v>
                </c:pt>
                <c:pt idx="25">
                  <c:v>2.9432240595786441</c:v>
                </c:pt>
                <c:pt idx="26">
                  <c:v>0.80792874813431403</c:v>
                </c:pt>
                <c:pt idx="27">
                  <c:v>6.4184736954326986</c:v>
                </c:pt>
                <c:pt idx="28">
                  <c:v>3.3709510438850456</c:v>
                </c:pt>
                <c:pt idx="29">
                  <c:v>4.5318508889785161</c:v>
                </c:pt>
                <c:pt idx="30">
                  <c:v>0.53716343794876009</c:v>
                </c:pt>
                <c:pt idx="31">
                  <c:v>1.2533813552137736</c:v>
                </c:pt>
                <c:pt idx="32">
                  <c:v>1.0059933156419629</c:v>
                </c:pt>
                <c:pt idx="33">
                  <c:v>1.5762959613838317</c:v>
                </c:pt>
                <c:pt idx="34">
                  <c:v>5.8689793894678974</c:v>
                </c:pt>
                <c:pt idx="35">
                  <c:v>0.53279625552641252</c:v>
                </c:pt>
                <c:pt idx="36">
                  <c:v>0.12099664240739645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96-4A72-9E08-720EA6042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Participation to GDP</a:t>
            </a:r>
          </a:p>
        </c:rich>
      </c:tx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normalized GDP value</c:v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visualisations!$A$10:$A$46</c:f>
              <c:strCache>
                <c:ptCount val="37"/>
                <c:pt idx="0">
                  <c:v>AL</c:v>
                </c:pt>
                <c:pt idx="1">
                  <c:v>AT</c:v>
                </c:pt>
                <c:pt idx="2">
                  <c:v>BE</c:v>
                </c:pt>
                <c:pt idx="3">
                  <c:v>BG</c:v>
                </c:pt>
                <c:pt idx="4">
                  <c:v>CY</c:v>
                </c:pt>
                <c:pt idx="5">
                  <c:v>CZ</c:v>
                </c:pt>
                <c:pt idx="6">
                  <c:v>DE</c:v>
                </c:pt>
                <c:pt idx="7">
                  <c:v>DK</c:v>
                </c:pt>
                <c:pt idx="8">
                  <c:v>EE</c:v>
                </c:pt>
                <c:pt idx="9">
                  <c:v>ES</c:v>
                </c:pt>
                <c:pt idx="10">
                  <c:v>FI</c:v>
                </c:pt>
                <c:pt idx="11">
                  <c:v>FR</c:v>
                </c:pt>
                <c:pt idx="12">
                  <c:v>HR</c:v>
                </c:pt>
                <c:pt idx="13">
                  <c:v>HU</c:v>
                </c:pt>
                <c:pt idx="14">
                  <c:v>IE</c:v>
                </c:pt>
                <c:pt idx="15">
                  <c:v>IS</c:v>
                </c:pt>
                <c:pt idx="16">
                  <c:v>IT</c:v>
                </c:pt>
                <c:pt idx="17">
                  <c:v>LI</c:v>
                </c:pt>
                <c:pt idx="18">
                  <c:v>LT</c:v>
                </c:pt>
                <c:pt idx="19">
                  <c:v>LU</c:v>
                </c:pt>
                <c:pt idx="20">
                  <c:v>LV</c:v>
                </c:pt>
                <c:pt idx="21">
                  <c:v>MD</c:v>
                </c:pt>
                <c:pt idx="22">
                  <c:v>ME</c:v>
                </c:pt>
                <c:pt idx="23">
                  <c:v>MK</c:v>
                </c:pt>
                <c:pt idx="24">
                  <c:v>MT</c:v>
                </c:pt>
                <c:pt idx="25">
                  <c:v>NL</c:v>
                </c:pt>
                <c:pt idx="26">
                  <c:v>NO</c:v>
                </c:pt>
                <c:pt idx="27">
                  <c:v>PL</c:v>
                </c:pt>
                <c:pt idx="28">
                  <c:v>PT</c:v>
                </c:pt>
                <c:pt idx="29">
                  <c:v>RO</c:v>
                </c:pt>
                <c:pt idx="30">
                  <c:v>RS</c:v>
                </c:pt>
                <c:pt idx="31">
                  <c:v>SE</c:v>
                </c:pt>
                <c:pt idx="32">
                  <c:v>SI</c:v>
                </c:pt>
                <c:pt idx="33">
                  <c:v>SK</c:v>
                </c:pt>
                <c:pt idx="34">
                  <c:v>TR</c:v>
                </c:pt>
                <c:pt idx="35">
                  <c:v>UA</c:v>
                </c:pt>
                <c:pt idx="36">
                  <c:v>XK</c:v>
                </c:pt>
              </c:strCache>
            </c:strRef>
          </c:cat>
          <c:val>
            <c:numRef>
              <c:f>visualisations!$B$10:$B$46</c:f>
              <c:numCache>
                <c:formatCode>0.00</c:formatCode>
                <c:ptCount val="37"/>
                <c:pt idx="0">
                  <c:v>0.53867474090384948</c:v>
                </c:pt>
                <c:pt idx="1">
                  <c:v>4.5477082760529228</c:v>
                </c:pt>
                <c:pt idx="2">
                  <c:v>4.3795534777983844</c:v>
                </c:pt>
                <c:pt idx="3">
                  <c:v>1.0922018083876941</c:v>
                </c:pt>
                <c:pt idx="4">
                  <c:v>2.8081546153206864</c:v>
                </c:pt>
                <c:pt idx="5">
                  <c:v>2.3441271497715634</c:v>
                </c:pt>
                <c:pt idx="6">
                  <c:v>4.4282828780377699</c:v>
                </c:pt>
                <c:pt idx="7">
                  <c:v>5.8786978524994238</c:v>
                </c:pt>
                <c:pt idx="8">
                  <c:v>2.364788867937579</c:v>
                </c:pt>
                <c:pt idx="9">
                  <c:v>2.6064413514726059</c:v>
                </c:pt>
                <c:pt idx="10">
                  <c:v>4.495361499788662</c:v>
                </c:pt>
                <c:pt idx="11">
                  <c:v>3.7031674728454318</c:v>
                </c:pt>
                <c:pt idx="12">
                  <c:v>1.499871822073626</c:v>
                </c:pt>
                <c:pt idx="13">
                  <c:v>1.6056812538536913</c:v>
                </c:pt>
                <c:pt idx="14">
                  <c:v>8.8504947706612302</c:v>
                </c:pt>
                <c:pt idx="15">
                  <c:v>6.0164266036139606</c:v>
                </c:pt>
                <c:pt idx="16">
                  <c:v>3.1104409054643649</c:v>
                </c:pt>
                <c:pt idx="17">
                  <c:v>17.125848162847266</c:v>
                </c:pt>
                <c:pt idx="18">
                  <c:v>2.0175710421483717</c:v>
                </c:pt>
                <c:pt idx="19">
                  <c:v>11.507176279677973</c:v>
                </c:pt>
                <c:pt idx="20">
                  <c:v>1.7052296533477567</c:v>
                </c:pt>
                <c:pt idx="21">
                  <c:v>0.4376786102679035</c:v>
                </c:pt>
                <c:pt idx="22">
                  <c:v>0.79311916924826686</c:v>
                </c:pt>
                <c:pt idx="23">
                  <c:v>0.57205405238185469</c:v>
                </c:pt>
                <c:pt idx="24">
                  <c:v>3.2321046258173891</c:v>
                </c:pt>
                <c:pt idx="25">
                  <c:v>5.1017386425443974</c:v>
                </c:pt>
                <c:pt idx="26">
                  <c:v>8.1769324266248518</c:v>
                </c:pt>
                <c:pt idx="27">
                  <c:v>1.5725616647016887</c:v>
                </c:pt>
                <c:pt idx="28">
                  <c:v>2.0828123344945793</c:v>
                </c:pt>
                <c:pt idx="29">
                  <c:v>1.255029903140676</c:v>
                </c:pt>
                <c:pt idx="30">
                  <c:v>0.81395499441392172</c:v>
                </c:pt>
                <c:pt idx="31">
                  <c:v>5.1444110606741598</c:v>
                </c:pt>
                <c:pt idx="32">
                  <c:v>2.467186697626385</c:v>
                </c:pt>
                <c:pt idx="33">
                  <c:v>1.8662213740807554</c:v>
                </c:pt>
                <c:pt idx="34">
                  <c:v>0.84572289148125057</c:v>
                </c:pt>
                <c:pt idx="35">
                  <c:v>0.40793223990979721</c:v>
                </c:pt>
                <c:pt idx="36">
                  <c:v>0.44255154917233258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C5-454A-8D74-6365DCB7227C}"/>
            </c:ext>
          </c:extLst>
        </c:ser>
        <c:ser>
          <c:idx val="2"/>
          <c:order val="1"/>
          <c:tx>
            <c:v>Erasmus+ participant share</c:v>
          </c:tx>
          <c:spPr>
            <a:ln w="28575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visualisations!$A$10:$A$46</c:f>
              <c:strCache>
                <c:ptCount val="37"/>
                <c:pt idx="0">
                  <c:v>AL</c:v>
                </c:pt>
                <c:pt idx="1">
                  <c:v>AT</c:v>
                </c:pt>
                <c:pt idx="2">
                  <c:v>BE</c:v>
                </c:pt>
                <c:pt idx="3">
                  <c:v>BG</c:v>
                </c:pt>
                <c:pt idx="4">
                  <c:v>CY</c:v>
                </c:pt>
                <c:pt idx="5">
                  <c:v>CZ</c:v>
                </c:pt>
                <c:pt idx="6">
                  <c:v>DE</c:v>
                </c:pt>
                <c:pt idx="7">
                  <c:v>DK</c:v>
                </c:pt>
                <c:pt idx="8">
                  <c:v>EE</c:v>
                </c:pt>
                <c:pt idx="9">
                  <c:v>ES</c:v>
                </c:pt>
                <c:pt idx="10">
                  <c:v>FI</c:v>
                </c:pt>
                <c:pt idx="11">
                  <c:v>FR</c:v>
                </c:pt>
                <c:pt idx="12">
                  <c:v>HR</c:v>
                </c:pt>
                <c:pt idx="13">
                  <c:v>HU</c:v>
                </c:pt>
                <c:pt idx="14">
                  <c:v>IE</c:v>
                </c:pt>
                <c:pt idx="15">
                  <c:v>IS</c:v>
                </c:pt>
                <c:pt idx="16">
                  <c:v>IT</c:v>
                </c:pt>
                <c:pt idx="17">
                  <c:v>LI</c:v>
                </c:pt>
                <c:pt idx="18">
                  <c:v>LT</c:v>
                </c:pt>
                <c:pt idx="19">
                  <c:v>LU</c:v>
                </c:pt>
                <c:pt idx="20">
                  <c:v>LV</c:v>
                </c:pt>
                <c:pt idx="21">
                  <c:v>MD</c:v>
                </c:pt>
                <c:pt idx="22">
                  <c:v>ME</c:v>
                </c:pt>
                <c:pt idx="23">
                  <c:v>MK</c:v>
                </c:pt>
                <c:pt idx="24">
                  <c:v>MT</c:v>
                </c:pt>
                <c:pt idx="25">
                  <c:v>NL</c:v>
                </c:pt>
                <c:pt idx="26">
                  <c:v>NO</c:v>
                </c:pt>
                <c:pt idx="27">
                  <c:v>PL</c:v>
                </c:pt>
                <c:pt idx="28">
                  <c:v>PT</c:v>
                </c:pt>
                <c:pt idx="29">
                  <c:v>RO</c:v>
                </c:pt>
                <c:pt idx="30">
                  <c:v>RS</c:v>
                </c:pt>
                <c:pt idx="31">
                  <c:v>SE</c:v>
                </c:pt>
                <c:pt idx="32">
                  <c:v>SI</c:v>
                </c:pt>
                <c:pt idx="33">
                  <c:v>SK</c:v>
                </c:pt>
                <c:pt idx="34">
                  <c:v>TR</c:v>
                </c:pt>
                <c:pt idx="35">
                  <c:v>UA</c:v>
                </c:pt>
                <c:pt idx="36">
                  <c:v>XK</c:v>
                </c:pt>
              </c:strCache>
            </c:strRef>
          </c:cat>
          <c:val>
            <c:numRef>
              <c:f>visualisations!$D$10:$D$46</c:f>
              <c:numCache>
                <c:formatCode>0.00</c:formatCode>
                <c:ptCount val="37"/>
                <c:pt idx="0">
                  <c:v>0.2191298003683847</c:v>
                </c:pt>
                <c:pt idx="1">
                  <c:v>1.9598373352994216</c:v>
                </c:pt>
                <c:pt idx="2">
                  <c:v>2.8247963480079226</c:v>
                </c:pt>
                <c:pt idx="3">
                  <c:v>1.8714661145177989</c:v>
                </c:pt>
                <c:pt idx="4">
                  <c:v>0.21656086953170958</c:v>
                </c:pt>
                <c:pt idx="5">
                  <c:v>2.7834365615374534</c:v>
                </c:pt>
                <c:pt idx="6">
                  <c:v>10.6507872488549</c:v>
                </c:pt>
                <c:pt idx="7">
                  <c:v>1.0889697816665682</c:v>
                </c:pt>
                <c:pt idx="8">
                  <c:v>0.72700742677904884</c:v>
                </c:pt>
                <c:pt idx="9">
                  <c:v>13.945184153807027</c:v>
                </c:pt>
                <c:pt idx="10">
                  <c:v>0.70465772849997554</c:v>
                </c:pt>
                <c:pt idx="11">
                  <c:v>12.954090637017778</c:v>
                </c:pt>
                <c:pt idx="12">
                  <c:v>1.1231365617943467</c:v>
                </c:pt>
                <c:pt idx="13">
                  <c:v>2.0250881785509689</c:v>
                </c:pt>
                <c:pt idx="14">
                  <c:v>0.9715696424305168</c:v>
                </c:pt>
                <c:pt idx="15">
                  <c:v>0.12330868016040405</c:v>
                </c:pt>
                <c:pt idx="16">
                  <c:v>12.390980997618602</c:v>
                </c:pt>
                <c:pt idx="17">
                  <c:v>1.5927371187385523E-2</c:v>
                </c:pt>
                <c:pt idx="18">
                  <c:v>2.0803201915394833</c:v>
                </c:pt>
                <c:pt idx="19">
                  <c:v>0.11611567381771382</c:v>
                </c:pt>
                <c:pt idx="20">
                  <c:v>1.1513948009977726</c:v>
                </c:pt>
                <c:pt idx="21">
                  <c:v>0.1220242147420665</c:v>
                </c:pt>
                <c:pt idx="22">
                  <c:v>8.1178214438932667E-2</c:v>
                </c:pt>
                <c:pt idx="23">
                  <c:v>0.67922531321689228</c:v>
                </c:pt>
                <c:pt idx="24">
                  <c:v>0.20577136001767427</c:v>
                </c:pt>
                <c:pt idx="25">
                  <c:v>2.9432240595786441</c:v>
                </c:pt>
                <c:pt idx="26">
                  <c:v>0.80792874813431403</c:v>
                </c:pt>
                <c:pt idx="27">
                  <c:v>6.4184736954326986</c:v>
                </c:pt>
                <c:pt idx="28">
                  <c:v>3.3709510438850456</c:v>
                </c:pt>
                <c:pt idx="29">
                  <c:v>4.5318508889785161</c:v>
                </c:pt>
                <c:pt idx="30">
                  <c:v>0.53716343794876009</c:v>
                </c:pt>
                <c:pt idx="31">
                  <c:v>1.2533813552137736</c:v>
                </c:pt>
                <c:pt idx="32">
                  <c:v>1.0059933156419629</c:v>
                </c:pt>
                <c:pt idx="33">
                  <c:v>1.5762959613838317</c:v>
                </c:pt>
                <c:pt idx="34">
                  <c:v>5.8689793894678974</c:v>
                </c:pt>
                <c:pt idx="35">
                  <c:v>0.53279625552641252</c:v>
                </c:pt>
                <c:pt idx="36">
                  <c:v>0.12099664240739645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1C5-454A-8D74-6365DCB72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859720"/>
        <c:axId val="151880200"/>
      </c:lineChart>
      <c:catAx>
        <c:axId val="151859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80200"/>
        <c:crosses val="autoZero"/>
        <c:auto val="1"/>
        <c:lblAlgn val="ctr"/>
        <c:lblOffset val="100"/>
        <c:noMultiLvlLbl val="0"/>
      </c:catAx>
      <c:valAx>
        <c:axId val="151880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59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Participation by country (2014 - 2022)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data!$B$349</c:f>
              <c:strCache>
                <c:ptCount val="1"/>
                <c:pt idx="0">
                  <c:v>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data!$B$350:$B$358</c:f>
              <c:numCache>
                <c:formatCode>General</c:formatCode>
                <c:ptCount val="9"/>
                <c:pt idx="0">
                  <c:v>153</c:v>
                </c:pt>
                <c:pt idx="1">
                  <c:v>554</c:v>
                </c:pt>
                <c:pt idx="2">
                  <c:v>632</c:v>
                </c:pt>
                <c:pt idx="3">
                  <c:v>881</c:v>
                </c:pt>
                <c:pt idx="4">
                  <c:v>924</c:v>
                </c:pt>
                <c:pt idx="5">
                  <c:v>1295</c:v>
                </c:pt>
                <c:pt idx="6">
                  <c:v>481</c:v>
                </c:pt>
                <c:pt idx="7">
                  <c:v>853</c:v>
                </c:pt>
                <c:pt idx="8">
                  <c:v>1831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96-4954-B760-05FE5B5F8E33}"/>
            </c:ext>
          </c:extLst>
        </c:ser>
        <c:ser>
          <c:idx val="2"/>
          <c:order val="1"/>
          <c:tx>
            <c:strRef>
              <c:f>data!$C$349</c:f>
              <c:strCache>
                <c:ptCount val="1"/>
                <c:pt idx="0">
                  <c:v>AT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data!$C$350:$C$358</c:f>
              <c:numCache>
                <c:formatCode>General</c:formatCode>
                <c:ptCount val="9"/>
                <c:pt idx="0">
                  <c:v>5593</c:v>
                </c:pt>
                <c:pt idx="1">
                  <c:v>10931</c:v>
                </c:pt>
                <c:pt idx="2">
                  <c:v>11395</c:v>
                </c:pt>
                <c:pt idx="3">
                  <c:v>11796</c:v>
                </c:pt>
                <c:pt idx="4">
                  <c:v>12692</c:v>
                </c:pt>
                <c:pt idx="5">
                  <c:v>13283</c:v>
                </c:pt>
                <c:pt idx="6">
                  <c:v>5874</c:v>
                </c:pt>
                <c:pt idx="7">
                  <c:v>7629</c:v>
                </c:pt>
                <c:pt idx="8">
                  <c:v>14861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96-4954-B760-05FE5B5F8E33}"/>
            </c:ext>
          </c:extLst>
        </c:ser>
        <c:ser>
          <c:idx val="3"/>
          <c:order val="2"/>
          <c:tx>
            <c:strRef>
              <c:f>data!$D$349</c:f>
              <c:strCache>
                <c:ptCount val="1"/>
                <c:pt idx="0">
                  <c:v>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data!$D$350:$D$358</c:f>
              <c:numCache>
                <c:formatCode>General</c:formatCode>
                <c:ptCount val="9"/>
                <c:pt idx="0">
                  <c:v>5495</c:v>
                </c:pt>
                <c:pt idx="1">
                  <c:v>12579</c:v>
                </c:pt>
                <c:pt idx="2">
                  <c:v>13910</c:v>
                </c:pt>
                <c:pt idx="3">
                  <c:v>14423</c:v>
                </c:pt>
                <c:pt idx="4">
                  <c:v>15482</c:v>
                </c:pt>
                <c:pt idx="5">
                  <c:v>16370</c:v>
                </c:pt>
                <c:pt idx="6">
                  <c:v>8103</c:v>
                </c:pt>
                <c:pt idx="7">
                  <c:v>10996</c:v>
                </c:pt>
                <c:pt idx="8">
                  <c:v>20112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B96-4954-B760-05FE5B5F8E33}"/>
            </c:ext>
          </c:extLst>
        </c:ser>
        <c:ser>
          <c:idx val="4"/>
          <c:order val="3"/>
          <c:tx>
            <c:strRef>
              <c:f>data!$E$349</c:f>
              <c:strCache>
                <c:ptCount val="1"/>
                <c:pt idx="0">
                  <c:v>BG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data!$E$350:$E$358</c:f>
              <c:numCache>
                <c:formatCode>General</c:formatCode>
                <c:ptCount val="9"/>
                <c:pt idx="0">
                  <c:v>2000</c:v>
                </c:pt>
                <c:pt idx="1">
                  <c:v>6899</c:v>
                </c:pt>
                <c:pt idx="2">
                  <c:v>7135</c:v>
                </c:pt>
                <c:pt idx="3">
                  <c:v>7928</c:v>
                </c:pt>
                <c:pt idx="4">
                  <c:v>9203</c:v>
                </c:pt>
                <c:pt idx="5">
                  <c:v>9750</c:v>
                </c:pt>
                <c:pt idx="6">
                  <c:v>3264</c:v>
                </c:pt>
                <c:pt idx="7">
                  <c:v>7285</c:v>
                </c:pt>
                <c:pt idx="8">
                  <c:v>11168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B96-4954-B760-05FE5B5F8E33}"/>
            </c:ext>
          </c:extLst>
        </c:ser>
        <c:ser>
          <c:idx val="5"/>
          <c:order val="4"/>
          <c:tx>
            <c:strRef>
              <c:f>data!$F$349</c:f>
              <c:strCache>
                <c:ptCount val="1"/>
                <c:pt idx="0">
                  <c:v>CH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data!$F$350:$F$358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B96-4954-B760-05FE5B5F8E33}"/>
            </c:ext>
          </c:extLst>
        </c:ser>
        <c:ser>
          <c:idx val="6"/>
          <c:order val="5"/>
          <c:tx>
            <c:strRef>
              <c:f>data!$G$349</c:f>
              <c:strCache>
                <c:ptCount val="1"/>
                <c:pt idx="0">
                  <c:v>CY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data!$G$350:$G$358</c:f>
              <c:numCache>
                <c:formatCode>General</c:formatCode>
                <c:ptCount val="9"/>
                <c:pt idx="0">
                  <c:v>535</c:v>
                </c:pt>
                <c:pt idx="1">
                  <c:v>1188</c:v>
                </c:pt>
                <c:pt idx="2">
                  <c:v>1220</c:v>
                </c:pt>
                <c:pt idx="3">
                  <c:v>1555</c:v>
                </c:pt>
                <c:pt idx="4">
                  <c:v>1504</c:v>
                </c:pt>
                <c:pt idx="5">
                  <c:v>1822</c:v>
                </c:pt>
                <c:pt idx="6">
                  <c:v>398</c:v>
                </c:pt>
                <c:pt idx="7">
                  <c:v>843</c:v>
                </c:pt>
                <c:pt idx="8">
                  <c:v>1915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B96-4954-B760-05FE5B5F8E33}"/>
            </c:ext>
          </c:extLst>
        </c:ser>
        <c:ser>
          <c:idx val="7"/>
          <c:order val="6"/>
          <c:tx>
            <c:strRef>
              <c:f>data!$H$349</c:f>
              <c:strCache>
                <c:ptCount val="1"/>
                <c:pt idx="0">
                  <c:v>CZ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data!$H$350:$H$358</c:f>
              <c:numCache>
                <c:formatCode>General</c:formatCode>
                <c:ptCount val="9"/>
                <c:pt idx="0">
                  <c:v>6429</c:v>
                </c:pt>
                <c:pt idx="1">
                  <c:v>15229</c:v>
                </c:pt>
                <c:pt idx="2">
                  <c:v>14832</c:v>
                </c:pt>
                <c:pt idx="3">
                  <c:v>15156</c:v>
                </c:pt>
                <c:pt idx="4">
                  <c:v>16100</c:v>
                </c:pt>
                <c:pt idx="5">
                  <c:v>17595</c:v>
                </c:pt>
                <c:pt idx="6">
                  <c:v>6430</c:v>
                </c:pt>
                <c:pt idx="7">
                  <c:v>10835</c:v>
                </c:pt>
                <c:pt idx="8">
                  <c:v>21754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B96-4954-B760-05FE5B5F8E33}"/>
            </c:ext>
          </c:extLst>
        </c:ser>
        <c:ser>
          <c:idx val="8"/>
          <c:order val="7"/>
          <c:tx>
            <c:strRef>
              <c:f>data!$I$349</c:f>
              <c:strCache>
                <c:ptCount val="1"/>
                <c:pt idx="0">
                  <c:v>DE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data!$I$350:$I$358</c:f>
              <c:numCache>
                <c:formatCode>General</c:formatCode>
                <c:ptCount val="9"/>
                <c:pt idx="0">
                  <c:v>29827</c:v>
                </c:pt>
                <c:pt idx="1">
                  <c:v>54860</c:v>
                </c:pt>
                <c:pt idx="2">
                  <c:v>62409</c:v>
                </c:pt>
                <c:pt idx="3">
                  <c:v>65067</c:v>
                </c:pt>
                <c:pt idx="4">
                  <c:v>69564</c:v>
                </c:pt>
                <c:pt idx="5">
                  <c:v>73427</c:v>
                </c:pt>
                <c:pt idx="6">
                  <c:v>32177</c:v>
                </c:pt>
                <c:pt idx="7">
                  <c:v>41460</c:v>
                </c:pt>
                <c:pt idx="8">
                  <c:v>78245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B96-4954-B760-05FE5B5F8E33}"/>
            </c:ext>
          </c:extLst>
        </c:ser>
        <c:ser>
          <c:idx val="9"/>
          <c:order val="8"/>
          <c:tx>
            <c:strRef>
              <c:f>data!$J$349</c:f>
              <c:strCache>
                <c:ptCount val="1"/>
                <c:pt idx="0">
                  <c:v>DK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data!$J$350:$J$358</c:f>
              <c:numCache>
                <c:formatCode>General</c:formatCode>
                <c:ptCount val="9"/>
                <c:pt idx="0">
                  <c:v>2725</c:v>
                </c:pt>
                <c:pt idx="1">
                  <c:v>5804</c:v>
                </c:pt>
                <c:pt idx="2">
                  <c:v>6073</c:v>
                </c:pt>
                <c:pt idx="3">
                  <c:v>6909</c:v>
                </c:pt>
                <c:pt idx="4">
                  <c:v>6906</c:v>
                </c:pt>
                <c:pt idx="5">
                  <c:v>7128</c:v>
                </c:pt>
                <c:pt idx="6">
                  <c:v>3489</c:v>
                </c:pt>
                <c:pt idx="7">
                  <c:v>4239</c:v>
                </c:pt>
                <c:pt idx="8">
                  <c:v>4239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B96-4954-B760-05FE5B5F8E33}"/>
            </c:ext>
          </c:extLst>
        </c:ser>
        <c:ser>
          <c:idx val="10"/>
          <c:order val="9"/>
          <c:tx>
            <c:strRef>
              <c:f>data!$K$349</c:f>
              <c:strCache>
                <c:ptCount val="1"/>
                <c:pt idx="0">
                  <c:v>EE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data!$K$350:$K$358</c:f>
              <c:numCache>
                <c:formatCode>General</c:formatCode>
                <c:ptCount val="9"/>
                <c:pt idx="0">
                  <c:v>1250</c:v>
                </c:pt>
                <c:pt idx="1">
                  <c:v>4091</c:v>
                </c:pt>
                <c:pt idx="2">
                  <c:v>4109</c:v>
                </c:pt>
                <c:pt idx="3">
                  <c:v>4323</c:v>
                </c:pt>
                <c:pt idx="4">
                  <c:v>4682</c:v>
                </c:pt>
                <c:pt idx="5">
                  <c:v>5075</c:v>
                </c:pt>
                <c:pt idx="6">
                  <c:v>1723</c:v>
                </c:pt>
                <c:pt idx="7">
                  <c:v>2830</c:v>
                </c:pt>
                <c:pt idx="8">
                  <c:v>7075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B96-4954-B760-05FE5B5F8E33}"/>
            </c:ext>
          </c:extLst>
        </c:ser>
        <c:ser>
          <c:idx val="11"/>
          <c:order val="10"/>
          <c:tx>
            <c:strRef>
              <c:f>data!$L$349</c:f>
              <c:strCache>
                <c:ptCount val="1"/>
                <c:pt idx="0">
                  <c:v>ES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data!$L$350:$L$358</c:f>
              <c:numCache>
                <c:formatCode>General</c:formatCode>
                <c:ptCount val="9"/>
                <c:pt idx="0">
                  <c:v>26149</c:v>
                </c:pt>
                <c:pt idx="1">
                  <c:v>47942</c:v>
                </c:pt>
                <c:pt idx="2">
                  <c:v>53589</c:v>
                </c:pt>
                <c:pt idx="3">
                  <c:v>59160</c:v>
                </c:pt>
                <c:pt idx="4">
                  <c:v>63706</c:v>
                </c:pt>
                <c:pt idx="5">
                  <c:v>67378</c:v>
                </c:pt>
                <c:pt idx="6">
                  <c:v>25088</c:v>
                </c:pt>
                <c:pt idx="7">
                  <c:v>54284</c:v>
                </c:pt>
                <c:pt idx="8">
                  <c:v>83525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B96-4954-B760-05FE5B5F8E33}"/>
            </c:ext>
          </c:extLst>
        </c:ser>
        <c:ser>
          <c:idx val="12"/>
          <c:order val="11"/>
          <c:tx>
            <c:strRef>
              <c:f>data!$M$349</c:f>
              <c:strCache>
                <c:ptCount val="1"/>
                <c:pt idx="0">
                  <c:v>FI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data!$M$350:$M$358</c:f>
              <c:numCache>
                <c:formatCode>General</c:formatCode>
                <c:ptCount val="9"/>
                <c:pt idx="0">
                  <c:v>3846</c:v>
                </c:pt>
                <c:pt idx="1">
                  <c:v>10189</c:v>
                </c:pt>
                <c:pt idx="2">
                  <c:v>12040</c:v>
                </c:pt>
                <c:pt idx="3">
                  <c:v>12151</c:v>
                </c:pt>
                <c:pt idx="4">
                  <c:v>11835</c:v>
                </c:pt>
                <c:pt idx="5">
                  <c:v>11594</c:v>
                </c:pt>
                <c:pt idx="6">
                  <c:v>3897</c:v>
                </c:pt>
                <c:pt idx="7">
                  <c:v>2743</c:v>
                </c:pt>
                <c:pt idx="8">
                  <c:v>11767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B96-4954-B760-05FE5B5F8E33}"/>
            </c:ext>
          </c:extLst>
        </c:ser>
        <c:ser>
          <c:idx val="13"/>
          <c:order val="12"/>
          <c:tx>
            <c:strRef>
              <c:f>data!$N$349</c:f>
              <c:strCache>
                <c:ptCount val="1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data!$N$350:$N$358</c:f>
              <c:numCache>
                <c:formatCode>General</c:formatCode>
                <c:ptCount val="9"/>
                <c:pt idx="0">
                  <c:v>22463</c:v>
                </c:pt>
                <c:pt idx="1">
                  <c:v>51562</c:v>
                </c:pt>
                <c:pt idx="2">
                  <c:v>59644</c:v>
                </c:pt>
                <c:pt idx="3">
                  <c:v>63160</c:v>
                </c:pt>
                <c:pt idx="4">
                  <c:v>69927</c:v>
                </c:pt>
                <c:pt idx="5">
                  <c:v>77017</c:v>
                </c:pt>
                <c:pt idx="6">
                  <c:v>38358</c:v>
                </c:pt>
                <c:pt idx="7">
                  <c:v>50426</c:v>
                </c:pt>
                <c:pt idx="8">
                  <c:v>88828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B96-4954-B760-05FE5B5F8E33}"/>
            </c:ext>
          </c:extLst>
        </c:ser>
        <c:ser>
          <c:idx val="14"/>
          <c:order val="13"/>
          <c:tx>
            <c:strRef>
              <c:f>data!$O$349</c:f>
              <c:strCache>
                <c:ptCount val="1"/>
                <c:pt idx="0">
                  <c:v>HR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data!$O$350:$O$358</c:f>
              <c:numCache>
                <c:formatCode>General</c:formatCode>
                <c:ptCount val="9"/>
                <c:pt idx="0">
                  <c:v>1612</c:v>
                </c:pt>
                <c:pt idx="1">
                  <c:v>4836</c:v>
                </c:pt>
                <c:pt idx="2">
                  <c:v>4798</c:v>
                </c:pt>
                <c:pt idx="3">
                  <c:v>4999</c:v>
                </c:pt>
                <c:pt idx="4">
                  <c:v>5711</c:v>
                </c:pt>
                <c:pt idx="5">
                  <c:v>6619</c:v>
                </c:pt>
                <c:pt idx="6">
                  <c:v>2530</c:v>
                </c:pt>
                <c:pt idx="7">
                  <c:v>4372</c:v>
                </c:pt>
                <c:pt idx="8">
                  <c:v>8954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B96-4954-B760-05FE5B5F8E33}"/>
            </c:ext>
          </c:extLst>
        </c:ser>
        <c:ser>
          <c:idx val="15"/>
          <c:order val="14"/>
          <c:tx>
            <c:strRef>
              <c:f>data!$P$349</c:f>
              <c:strCache>
                <c:ptCount val="1"/>
                <c:pt idx="0">
                  <c:v>HU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data!$P$350:$P$358</c:f>
              <c:numCache>
                <c:formatCode>General</c:formatCode>
                <c:ptCount val="9"/>
                <c:pt idx="0">
                  <c:v>3847</c:v>
                </c:pt>
                <c:pt idx="1">
                  <c:v>9829</c:v>
                </c:pt>
                <c:pt idx="2">
                  <c:v>10883</c:v>
                </c:pt>
                <c:pt idx="3">
                  <c:v>11557</c:v>
                </c:pt>
                <c:pt idx="4">
                  <c:v>12298</c:v>
                </c:pt>
                <c:pt idx="5">
                  <c:v>14030</c:v>
                </c:pt>
                <c:pt idx="6">
                  <c:v>3837</c:v>
                </c:pt>
                <c:pt idx="7">
                  <c:v>7883</c:v>
                </c:pt>
                <c:pt idx="8">
                  <c:v>18185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B96-4954-B760-05FE5B5F8E33}"/>
            </c:ext>
          </c:extLst>
        </c:ser>
        <c:ser>
          <c:idx val="16"/>
          <c:order val="15"/>
          <c:tx>
            <c:strRef>
              <c:f>data!$Q$349</c:f>
              <c:strCache>
                <c:ptCount val="1"/>
                <c:pt idx="0">
                  <c:v>IE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data!$Q$350:$Q$358</c:f>
              <c:numCache>
                <c:formatCode>General</c:formatCode>
                <c:ptCount val="9"/>
                <c:pt idx="0">
                  <c:v>1978</c:v>
                </c:pt>
                <c:pt idx="1">
                  <c:v>4521</c:v>
                </c:pt>
                <c:pt idx="2">
                  <c:v>4869</c:v>
                </c:pt>
                <c:pt idx="3">
                  <c:v>5233</c:v>
                </c:pt>
                <c:pt idx="4">
                  <c:v>5930</c:v>
                </c:pt>
                <c:pt idx="5">
                  <c:v>6559</c:v>
                </c:pt>
                <c:pt idx="6">
                  <c:v>3304</c:v>
                </c:pt>
                <c:pt idx="7">
                  <c:v>3782</c:v>
                </c:pt>
                <c:pt idx="8">
                  <c:v>7179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B96-4954-B760-05FE5B5F8E33}"/>
            </c:ext>
          </c:extLst>
        </c:ser>
        <c:ser>
          <c:idx val="17"/>
          <c:order val="16"/>
          <c:tx>
            <c:strRef>
              <c:f>data!$R$349</c:f>
              <c:strCache>
                <c:ptCount val="1"/>
                <c:pt idx="0">
                  <c:v>IS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data!$R$350:$R$358</c:f>
              <c:numCache>
                <c:formatCode>General</c:formatCode>
                <c:ptCount val="9"/>
                <c:pt idx="0">
                  <c:v>386</c:v>
                </c:pt>
                <c:pt idx="1">
                  <c:v>849</c:v>
                </c:pt>
                <c:pt idx="2">
                  <c:v>1127</c:v>
                </c:pt>
                <c:pt idx="3">
                  <c:v>1292</c:v>
                </c:pt>
                <c:pt idx="4">
                  <c:v>1159</c:v>
                </c:pt>
                <c:pt idx="5">
                  <c:v>1370</c:v>
                </c:pt>
                <c:pt idx="6">
                  <c:v>456</c:v>
                </c:pt>
                <c:pt idx="7">
                  <c:v>480</c:v>
                </c:pt>
                <c:pt idx="8">
                  <c:v>1703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5B96-4954-B760-05FE5B5F8E33}"/>
            </c:ext>
          </c:extLst>
        </c:ser>
        <c:ser>
          <c:idx val="18"/>
          <c:order val="17"/>
          <c:tx>
            <c:strRef>
              <c:f>data!$S$349</c:f>
              <c:strCache>
                <c:ptCount val="1"/>
                <c:pt idx="0">
                  <c:v>IT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data!$S$350:$S$358</c:f>
              <c:numCache>
                <c:formatCode>General</c:formatCode>
                <c:ptCount val="9"/>
                <c:pt idx="0">
                  <c:v>20474</c:v>
                </c:pt>
                <c:pt idx="1">
                  <c:v>46853</c:v>
                </c:pt>
                <c:pt idx="2">
                  <c:v>51589</c:v>
                </c:pt>
                <c:pt idx="3">
                  <c:v>54723</c:v>
                </c:pt>
                <c:pt idx="4">
                  <c:v>59548</c:v>
                </c:pt>
                <c:pt idx="5">
                  <c:v>62853</c:v>
                </c:pt>
                <c:pt idx="6">
                  <c:v>23978</c:v>
                </c:pt>
                <c:pt idx="7">
                  <c:v>48234</c:v>
                </c:pt>
                <c:pt idx="8">
                  <c:v>77372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5B96-4954-B760-05FE5B5F8E33}"/>
            </c:ext>
          </c:extLst>
        </c:ser>
        <c:ser>
          <c:idx val="19"/>
          <c:order val="18"/>
          <c:tx>
            <c:strRef>
              <c:f>data!$T$349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data!$T$350:$T$358</c:f>
              <c:numCache>
                <c:formatCode>General</c:formatCode>
                <c:ptCount val="9"/>
                <c:pt idx="0">
                  <c:v>51</c:v>
                </c:pt>
                <c:pt idx="1">
                  <c:v>137</c:v>
                </c:pt>
                <c:pt idx="2">
                  <c:v>175</c:v>
                </c:pt>
                <c:pt idx="3">
                  <c:v>144</c:v>
                </c:pt>
                <c:pt idx="4">
                  <c:v>191</c:v>
                </c:pt>
                <c:pt idx="5">
                  <c:v>190</c:v>
                </c:pt>
                <c:pt idx="6">
                  <c:v>83</c:v>
                </c:pt>
                <c:pt idx="7">
                  <c:v>62</c:v>
                </c:pt>
                <c:pt idx="8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5B96-4954-B760-05FE5B5F8E33}"/>
            </c:ext>
          </c:extLst>
        </c:ser>
        <c:ser>
          <c:idx val="20"/>
          <c:order val="19"/>
          <c:tx>
            <c:strRef>
              <c:f>data!$U$349</c:f>
              <c:strCache>
                <c:ptCount val="1"/>
                <c:pt idx="0">
                  <c:v>LT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data!$U$350:$U$358</c:f>
              <c:numCache>
                <c:formatCode>General</c:formatCode>
                <c:ptCount val="9"/>
                <c:pt idx="0">
                  <c:v>3275</c:v>
                </c:pt>
                <c:pt idx="1">
                  <c:v>9570</c:v>
                </c:pt>
                <c:pt idx="2">
                  <c:v>10294</c:v>
                </c:pt>
                <c:pt idx="3">
                  <c:v>10652</c:v>
                </c:pt>
                <c:pt idx="4">
                  <c:v>10976</c:v>
                </c:pt>
                <c:pt idx="5">
                  <c:v>12060</c:v>
                </c:pt>
                <c:pt idx="6">
                  <c:v>4372</c:v>
                </c:pt>
                <c:pt idx="7">
                  <c:v>8098</c:v>
                </c:pt>
                <c:pt idx="8">
                  <c:v>13878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5B96-4954-B760-05FE5B5F8E33}"/>
            </c:ext>
          </c:extLst>
        </c:ser>
        <c:ser>
          <c:idx val="21"/>
          <c:order val="20"/>
          <c:tx>
            <c:strRef>
              <c:f>data!$V$349</c:f>
              <c:strCache>
                <c:ptCount val="1"/>
                <c:pt idx="0">
                  <c:v>LU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data!$V$350:$V$358</c:f>
              <c:numCache>
                <c:formatCode>General</c:formatCode>
                <c:ptCount val="9"/>
                <c:pt idx="0">
                  <c:v>391</c:v>
                </c:pt>
                <c:pt idx="1">
                  <c:v>833</c:v>
                </c:pt>
                <c:pt idx="2">
                  <c:v>942</c:v>
                </c:pt>
                <c:pt idx="3">
                  <c:v>970</c:v>
                </c:pt>
                <c:pt idx="4">
                  <c:v>1047</c:v>
                </c:pt>
                <c:pt idx="5">
                  <c:v>968</c:v>
                </c:pt>
                <c:pt idx="6">
                  <c:v>376</c:v>
                </c:pt>
                <c:pt idx="7">
                  <c:v>452</c:v>
                </c:pt>
                <c:pt idx="8">
                  <c:v>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5B96-4954-B760-05FE5B5F8E33}"/>
            </c:ext>
          </c:extLst>
        </c:ser>
        <c:ser>
          <c:idx val="22"/>
          <c:order val="21"/>
          <c:tx>
            <c:strRef>
              <c:f>data!$W$349</c:f>
              <c:strCache>
                <c:ptCount val="1"/>
                <c:pt idx="0">
                  <c:v>LV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data!$W$350:$W$358</c:f>
              <c:numCache>
                <c:formatCode>General</c:formatCode>
                <c:ptCount val="9"/>
                <c:pt idx="0">
                  <c:v>1656</c:v>
                </c:pt>
                <c:pt idx="1">
                  <c:v>5469</c:v>
                </c:pt>
                <c:pt idx="2">
                  <c:v>4776</c:v>
                </c:pt>
                <c:pt idx="3">
                  <c:v>5328</c:v>
                </c:pt>
                <c:pt idx="4">
                  <c:v>5933</c:v>
                </c:pt>
                <c:pt idx="5">
                  <c:v>6882</c:v>
                </c:pt>
                <c:pt idx="6">
                  <c:v>2517</c:v>
                </c:pt>
                <c:pt idx="7">
                  <c:v>4482</c:v>
                </c:pt>
                <c:pt idx="8">
                  <c:v>8578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5B96-4954-B760-05FE5B5F8E33}"/>
            </c:ext>
          </c:extLst>
        </c:ser>
        <c:ser>
          <c:idx val="23"/>
          <c:order val="22"/>
          <c:tx>
            <c:strRef>
              <c:f>data!$X$349</c:f>
              <c:strCache>
                <c:ptCount val="1"/>
                <c:pt idx="0">
                  <c:v>MD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data!$X$350:$X$358</c:f>
              <c:numCache>
                <c:formatCode>General</c:formatCode>
                <c:ptCount val="9"/>
                <c:pt idx="0">
                  <c:v>150</c:v>
                </c:pt>
                <c:pt idx="1">
                  <c:v>590</c:v>
                </c:pt>
                <c:pt idx="2">
                  <c:v>479</c:v>
                </c:pt>
                <c:pt idx="3">
                  <c:v>604</c:v>
                </c:pt>
                <c:pt idx="4">
                  <c:v>668</c:v>
                </c:pt>
                <c:pt idx="5">
                  <c:v>728</c:v>
                </c:pt>
                <c:pt idx="6">
                  <c:v>201</c:v>
                </c:pt>
                <c:pt idx="7">
                  <c:v>475</c:v>
                </c:pt>
                <c:pt idx="8">
                  <c:v>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5B96-4954-B760-05FE5B5F8E33}"/>
            </c:ext>
          </c:extLst>
        </c:ser>
        <c:ser>
          <c:idx val="24"/>
          <c:order val="23"/>
          <c:tx>
            <c:strRef>
              <c:f>data!$Y$349</c:f>
              <c:strCache>
                <c:ptCount val="1"/>
                <c:pt idx="0">
                  <c:v>ME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data!$Y$350:$Y$358</c:f>
              <c:numCache>
                <c:formatCode>General</c:formatCode>
                <c:ptCount val="9"/>
                <c:pt idx="0">
                  <c:v>58</c:v>
                </c:pt>
                <c:pt idx="1">
                  <c:v>248</c:v>
                </c:pt>
                <c:pt idx="2">
                  <c:v>220</c:v>
                </c:pt>
                <c:pt idx="3">
                  <c:v>378</c:v>
                </c:pt>
                <c:pt idx="4">
                  <c:v>359</c:v>
                </c:pt>
                <c:pt idx="5">
                  <c:v>344</c:v>
                </c:pt>
                <c:pt idx="6">
                  <c:v>137</c:v>
                </c:pt>
                <c:pt idx="7">
                  <c:v>316</c:v>
                </c:pt>
                <c:pt idx="8">
                  <c:v>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5B96-4954-B760-05FE5B5F8E33}"/>
            </c:ext>
          </c:extLst>
        </c:ser>
        <c:ser>
          <c:idx val="25"/>
          <c:order val="24"/>
          <c:tx>
            <c:strRef>
              <c:f>data!$Z$349</c:f>
              <c:strCache>
                <c:ptCount val="1"/>
                <c:pt idx="0">
                  <c:v>MK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data!$Z$350:$Z$358</c:f>
              <c:numCache>
                <c:formatCode>General</c:formatCode>
                <c:ptCount val="9"/>
                <c:pt idx="0">
                  <c:v>726</c:v>
                </c:pt>
                <c:pt idx="1">
                  <c:v>2333</c:v>
                </c:pt>
                <c:pt idx="2">
                  <c:v>2275</c:v>
                </c:pt>
                <c:pt idx="3">
                  <c:v>2545</c:v>
                </c:pt>
                <c:pt idx="4">
                  <c:v>3018</c:v>
                </c:pt>
                <c:pt idx="5">
                  <c:v>3351</c:v>
                </c:pt>
                <c:pt idx="6">
                  <c:v>885</c:v>
                </c:pt>
                <c:pt idx="7">
                  <c:v>2644</c:v>
                </c:pt>
                <c:pt idx="8">
                  <c:v>5034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5B96-4954-B760-05FE5B5F8E33}"/>
            </c:ext>
          </c:extLst>
        </c:ser>
        <c:ser>
          <c:idx val="26"/>
          <c:order val="25"/>
          <c:tx>
            <c:strRef>
              <c:f>data!$AA$349</c:f>
              <c:strCache>
                <c:ptCount val="1"/>
                <c:pt idx="0">
                  <c:v>MT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data!$AA$350:$AA$358</c:f>
              <c:numCache>
                <c:formatCode>General</c:formatCode>
                <c:ptCount val="9"/>
                <c:pt idx="0">
                  <c:v>451</c:v>
                </c:pt>
                <c:pt idx="1">
                  <c:v>1340</c:v>
                </c:pt>
                <c:pt idx="2">
                  <c:v>1118</c:v>
                </c:pt>
                <c:pt idx="3">
                  <c:v>1306</c:v>
                </c:pt>
                <c:pt idx="4">
                  <c:v>1536</c:v>
                </c:pt>
                <c:pt idx="5">
                  <c:v>1646</c:v>
                </c:pt>
                <c:pt idx="6">
                  <c:v>420</c:v>
                </c:pt>
                <c:pt idx="7">
                  <c:v>801</c:v>
                </c:pt>
                <c:pt idx="8">
                  <c:v>1876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5B96-4954-B760-05FE5B5F8E33}"/>
            </c:ext>
          </c:extLst>
        </c:ser>
        <c:ser>
          <c:idx val="27"/>
          <c:order val="26"/>
          <c:tx>
            <c:strRef>
              <c:f>data!$AB$349</c:f>
              <c:strCache>
                <c:ptCount val="1"/>
                <c:pt idx="0">
                  <c:v>NL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data!$AB$350:$AB$358</c:f>
              <c:numCache>
                <c:formatCode>General</c:formatCode>
                <c:ptCount val="9"/>
                <c:pt idx="0">
                  <c:v>8024</c:v>
                </c:pt>
                <c:pt idx="1">
                  <c:v>19772</c:v>
                </c:pt>
                <c:pt idx="2">
                  <c:v>21671</c:v>
                </c:pt>
                <c:pt idx="3">
                  <c:v>22212</c:v>
                </c:pt>
                <c:pt idx="4">
                  <c:v>23087</c:v>
                </c:pt>
                <c:pt idx="5">
                  <c:v>25308</c:v>
                </c:pt>
                <c:pt idx="6">
                  <c:v>9440</c:v>
                </c:pt>
                <c:pt idx="7">
                  <c:v>11457</c:v>
                </c:pt>
                <c:pt idx="8">
                  <c:v>28433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5B96-4954-B760-05FE5B5F8E33}"/>
            </c:ext>
          </c:extLst>
        </c:ser>
        <c:ser>
          <c:idx val="28"/>
          <c:order val="27"/>
          <c:tx>
            <c:strRef>
              <c:f>data!$AC$349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data!$AC$350:$AC$358</c:f>
              <c:numCache>
                <c:formatCode>General</c:formatCode>
                <c:ptCount val="9"/>
                <c:pt idx="0">
                  <c:v>1376</c:v>
                </c:pt>
                <c:pt idx="1">
                  <c:v>3509</c:v>
                </c:pt>
                <c:pt idx="2">
                  <c:v>4085</c:v>
                </c:pt>
                <c:pt idx="3">
                  <c:v>4620</c:v>
                </c:pt>
                <c:pt idx="4">
                  <c:v>5086</c:v>
                </c:pt>
                <c:pt idx="5">
                  <c:v>5589</c:v>
                </c:pt>
                <c:pt idx="6">
                  <c:v>2274</c:v>
                </c:pt>
                <c:pt idx="7">
                  <c:v>3145</c:v>
                </c:pt>
                <c:pt idx="8">
                  <c:v>7580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B96-4954-B760-05FE5B5F8E33}"/>
            </c:ext>
          </c:extLst>
        </c:ser>
        <c:ser>
          <c:idx val="29"/>
          <c:order val="28"/>
          <c:tx>
            <c:strRef>
              <c:f>data!$AD$349</c:f>
              <c:strCache>
                <c:ptCount val="1"/>
                <c:pt idx="0">
                  <c:v>PL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data!$AD$350:$AD$358</c:f>
              <c:numCache>
                <c:formatCode>General</c:formatCode>
                <c:ptCount val="9"/>
                <c:pt idx="0">
                  <c:v>10073</c:v>
                </c:pt>
                <c:pt idx="1">
                  <c:v>26862</c:v>
                </c:pt>
                <c:pt idx="2">
                  <c:v>27873</c:v>
                </c:pt>
                <c:pt idx="3">
                  <c:v>27983</c:v>
                </c:pt>
                <c:pt idx="4">
                  <c:v>29541</c:v>
                </c:pt>
                <c:pt idx="5">
                  <c:v>32347</c:v>
                </c:pt>
                <c:pt idx="6">
                  <c:v>11379</c:v>
                </c:pt>
                <c:pt idx="7">
                  <c:v>24985</c:v>
                </c:pt>
                <c:pt idx="8">
                  <c:v>39769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5B96-4954-B760-05FE5B5F8E33}"/>
            </c:ext>
          </c:extLst>
        </c:ser>
        <c:ser>
          <c:idx val="30"/>
          <c:order val="29"/>
          <c:tx>
            <c:strRef>
              <c:f>data!$AE$349</c:f>
              <c:strCache>
                <c:ptCount val="1"/>
                <c:pt idx="0">
                  <c:v>PT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data!$AE$350:$AE$358</c:f>
              <c:numCache>
                <c:formatCode>General</c:formatCode>
                <c:ptCount val="9"/>
                <c:pt idx="0">
                  <c:v>5176</c:v>
                </c:pt>
                <c:pt idx="1">
                  <c:v>13335</c:v>
                </c:pt>
                <c:pt idx="2">
                  <c:v>14222</c:v>
                </c:pt>
                <c:pt idx="3">
                  <c:v>15414</c:v>
                </c:pt>
                <c:pt idx="4">
                  <c:v>17234</c:v>
                </c:pt>
                <c:pt idx="5">
                  <c:v>18465</c:v>
                </c:pt>
                <c:pt idx="6">
                  <c:v>7046</c:v>
                </c:pt>
                <c:pt idx="7">
                  <c:v>13122</c:v>
                </c:pt>
                <c:pt idx="8">
                  <c:v>23683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5B96-4954-B760-05FE5B5F8E33}"/>
            </c:ext>
          </c:extLst>
        </c:ser>
        <c:ser>
          <c:idx val="31"/>
          <c:order val="30"/>
          <c:tx>
            <c:strRef>
              <c:f>data!$AF$349</c:f>
              <c:strCache>
                <c:ptCount val="1"/>
                <c:pt idx="0">
                  <c:v>RO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data!$AF$350:$AF$358</c:f>
              <c:numCache>
                <c:formatCode>General</c:formatCode>
                <c:ptCount val="9"/>
                <c:pt idx="0">
                  <c:v>5286</c:v>
                </c:pt>
                <c:pt idx="1">
                  <c:v>16433</c:v>
                </c:pt>
                <c:pt idx="2">
                  <c:v>16637</c:v>
                </c:pt>
                <c:pt idx="3">
                  <c:v>17074</c:v>
                </c:pt>
                <c:pt idx="4">
                  <c:v>18689</c:v>
                </c:pt>
                <c:pt idx="5">
                  <c:v>21547</c:v>
                </c:pt>
                <c:pt idx="6">
                  <c:v>7003</c:v>
                </c:pt>
                <c:pt idx="7">
                  <c:v>17641</c:v>
                </c:pt>
                <c:pt idx="8">
                  <c:v>27830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5B96-4954-B760-05FE5B5F8E33}"/>
            </c:ext>
          </c:extLst>
        </c:ser>
        <c:ser>
          <c:idx val="32"/>
          <c:order val="31"/>
          <c:tx>
            <c:strRef>
              <c:f>data!$AG$349</c:f>
              <c:strCache>
                <c:ptCount val="1"/>
                <c:pt idx="0">
                  <c:v>RS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data!$AG$350:$AG$358</c:f>
              <c:numCache>
                <c:formatCode>General</c:formatCode>
                <c:ptCount val="9"/>
                <c:pt idx="0">
                  <c:v>397</c:v>
                </c:pt>
                <c:pt idx="1">
                  <c:v>940</c:v>
                </c:pt>
                <c:pt idx="2">
                  <c:v>1803</c:v>
                </c:pt>
                <c:pt idx="3">
                  <c:v>2508</c:v>
                </c:pt>
                <c:pt idx="4">
                  <c:v>2956</c:v>
                </c:pt>
                <c:pt idx="5">
                  <c:v>3188</c:v>
                </c:pt>
                <c:pt idx="6">
                  <c:v>794</c:v>
                </c:pt>
                <c:pt idx="7">
                  <c:v>2091</c:v>
                </c:pt>
                <c:pt idx="8">
                  <c:v>3962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B96-4954-B760-05FE5B5F8E33}"/>
            </c:ext>
          </c:extLst>
        </c:ser>
        <c:ser>
          <c:idx val="33"/>
          <c:order val="32"/>
          <c:tx>
            <c:strRef>
              <c:f>data!$AH$349</c:f>
              <c:strCache>
                <c:ptCount val="1"/>
                <c:pt idx="0">
                  <c:v>SE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data!$AH$350:$AH$358</c:f>
              <c:numCache>
                <c:formatCode>General</c:formatCode>
                <c:ptCount val="9"/>
                <c:pt idx="0">
                  <c:v>3035</c:v>
                </c:pt>
                <c:pt idx="1">
                  <c:v>6188</c:v>
                </c:pt>
                <c:pt idx="2">
                  <c:v>6710</c:v>
                </c:pt>
                <c:pt idx="3">
                  <c:v>7085</c:v>
                </c:pt>
                <c:pt idx="4">
                  <c:v>8011</c:v>
                </c:pt>
                <c:pt idx="5">
                  <c:v>8742</c:v>
                </c:pt>
                <c:pt idx="6">
                  <c:v>4484</c:v>
                </c:pt>
                <c:pt idx="7">
                  <c:v>4879</c:v>
                </c:pt>
                <c:pt idx="8">
                  <c:v>11408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5B96-4954-B760-05FE5B5F8E33}"/>
            </c:ext>
          </c:extLst>
        </c:ser>
        <c:ser>
          <c:idx val="34"/>
          <c:order val="33"/>
          <c:tx>
            <c:strRef>
              <c:f>data!$AI$349</c:f>
              <c:strCache>
                <c:ptCount val="1"/>
                <c:pt idx="0">
                  <c:v>SI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data!$AI$350:$AI$358</c:f>
              <c:numCache>
                <c:formatCode>General</c:formatCode>
                <c:ptCount val="9"/>
                <c:pt idx="0">
                  <c:v>1881</c:v>
                </c:pt>
                <c:pt idx="1">
                  <c:v>4736</c:v>
                </c:pt>
                <c:pt idx="2">
                  <c:v>4995</c:v>
                </c:pt>
                <c:pt idx="3">
                  <c:v>5126</c:v>
                </c:pt>
                <c:pt idx="4">
                  <c:v>5927</c:v>
                </c:pt>
                <c:pt idx="5">
                  <c:v>5989</c:v>
                </c:pt>
                <c:pt idx="6">
                  <c:v>2152</c:v>
                </c:pt>
                <c:pt idx="7">
                  <c:v>3916</c:v>
                </c:pt>
                <c:pt idx="8">
                  <c:v>7648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5B96-4954-B760-05FE5B5F8E33}"/>
            </c:ext>
          </c:extLst>
        </c:ser>
        <c:ser>
          <c:idx val="35"/>
          <c:order val="34"/>
          <c:tx>
            <c:strRef>
              <c:f>data!$AJ$349</c:f>
              <c:strCache>
                <c:ptCount val="1"/>
                <c:pt idx="0">
                  <c:v>SK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data!$AJ$350:$AJ$358</c:f>
              <c:numCache>
                <c:formatCode>General</c:formatCode>
                <c:ptCount val="9"/>
                <c:pt idx="0">
                  <c:v>3138</c:v>
                </c:pt>
                <c:pt idx="1">
                  <c:v>7574</c:v>
                </c:pt>
                <c:pt idx="2">
                  <c:v>7815</c:v>
                </c:pt>
                <c:pt idx="3">
                  <c:v>8191</c:v>
                </c:pt>
                <c:pt idx="4">
                  <c:v>9393</c:v>
                </c:pt>
                <c:pt idx="5">
                  <c:v>10218</c:v>
                </c:pt>
                <c:pt idx="6">
                  <c:v>3199</c:v>
                </c:pt>
                <c:pt idx="7">
                  <c:v>6136</c:v>
                </c:pt>
                <c:pt idx="8">
                  <c:v>12719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5B96-4954-B760-05FE5B5F8E33}"/>
            </c:ext>
          </c:extLst>
        </c:ser>
        <c:ser>
          <c:idx val="36"/>
          <c:order val="35"/>
          <c:tx>
            <c:strRef>
              <c:f>data!$AK$349</c:f>
              <c:strCache>
                <c:ptCount val="1"/>
                <c:pt idx="0">
                  <c:v>TR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data!$AK$350:$AK$358</c:f>
              <c:numCache>
                <c:formatCode>General</c:formatCode>
                <c:ptCount val="9"/>
                <c:pt idx="0">
                  <c:v>9484</c:v>
                </c:pt>
                <c:pt idx="1">
                  <c:v>24221</c:v>
                </c:pt>
                <c:pt idx="2">
                  <c:v>26625</c:v>
                </c:pt>
                <c:pt idx="3">
                  <c:v>30520</c:v>
                </c:pt>
                <c:pt idx="4">
                  <c:v>33124</c:v>
                </c:pt>
                <c:pt idx="5">
                  <c:v>33986</c:v>
                </c:pt>
                <c:pt idx="6">
                  <c:v>11427</c:v>
                </c:pt>
                <c:pt idx="7">
                  <c:v>22846</c:v>
                </c:pt>
                <c:pt idx="8">
                  <c:v>43084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5B96-4954-B760-05FE5B5F8E33}"/>
            </c:ext>
          </c:extLst>
        </c:ser>
        <c:ser>
          <c:idx val="37"/>
          <c:order val="36"/>
          <c:tx>
            <c:strRef>
              <c:f>data!$AL$349</c:f>
              <c:strCache>
                <c:ptCount val="1"/>
                <c:pt idx="0">
                  <c:v>UA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data!$AL$350:$AL$358</c:f>
              <c:numCache>
                <c:formatCode>General</c:formatCode>
                <c:ptCount val="9"/>
                <c:pt idx="0">
                  <c:v>579</c:v>
                </c:pt>
                <c:pt idx="1">
                  <c:v>1594</c:v>
                </c:pt>
                <c:pt idx="2">
                  <c:v>2416</c:v>
                </c:pt>
                <c:pt idx="3">
                  <c:v>3106</c:v>
                </c:pt>
                <c:pt idx="4">
                  <c:v>3461</c:v>
                </c:pt>
                <c:pt idx="5">
                  <c:v>3928</c:v>
                </c:pt>
                <c:pt idx="6">
                  <c:v>1070</c:v>
                </c:pt>
                <c:pt idx="7">
                  <c:v>2074</c:v>
                </c:pt>
                <c:pt idx="8">
                  <c:v>6480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5B96-4954-B760-05FE5B5F8E33}"/>
            </c:ext>
          </c:extLst>
        </c:ser>
        <c:ser>
          <c:idx val="38"/>
          <c:order val="37"/>
          <c:tx>
            <c:strRef>
              <c:f>data!$AM$349</c:f>
              <c:strCache>
                <c:ptCount val="1"/>
                <c:pt idx="0">
                  <c:v>XK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data!$A$350:$A$358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data!$AM$350:$AM$358</c:f>
              <c:numCache>
                <c:formatCode>General</c:formatCode>
                <c:ptCount val="9"/>
                <c:pt idx="0">
                  <c:v>55</c:v>
                </c:pt>
                <c:pt idx="1">
                  <c:v>212</c:v>
                </c:pt>
                <c:pt idx="2">
                  <c:v>349</c:v>
                </c:pt>
                <c:pt idx="3">
                  <c:v>488</c:v>
                </c:pt>
                <c:pt idx="4">
                  <c:v>610</c:v>
                </c:pt>
                <c:pt idx="5">
                  <c:v>617</c:v>
                </c:pt>
                <c:pt idx="6">
                  <c:v>239</c:v>
                </c:pt>
                <c:pt idx="7">
                  <c:v>471</c:v>
                </c:pt>
                <c:pt idx="8">
                  <c:v>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5B96-4954-B760-05FE5B5F8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512520"/>
        <c:axId val="449194504"/>
      </c:lineChart>
      <c:catAx>
        <c:axId val="33651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194504"/>
        <c:crosses val="autoZero"/>
        <c:auto val="1"/>
        <c:lblAlgn val="ctr"/>
        <c:lblOffset val="100"/>
        <c:noMultiLvlLbl val="0"/>
      </c:catAx>
      <c:valAx>
        <c:axId val="449194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51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971550</xdr:colOff>
      <xdr:row>4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8C821C-328C-4490-AF21-2EDA1967D0BD}"/>
            </a:ext>
          </a:extLst>
        </xdr:cNvPr>
        <xdr:cNvSpPr txBox="1"/>
      </xdr:nvSpPr>
      <xdr:spPr>
        <a:xfrm>
          <a:off x="0" y="0"/>
          <a:ext cx="16373475" cy="942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>
              <a:latin typeface="Verdana" panose="020B0604030504040204" pitchFamily="34" charset="0"/>
              <a:ea typeface="Verdana" panose="020B0604030504040204" pitchFamily="34" charset="0"/>
            </a:rPr>
            <a:t>Erasmus+ Mobility Dashboard</a:t>
          </a:r>
        </a:p>
      </xdr:txBody>
    </xdr:sp>
    <xdr:clientData/>
  </xdr:twoCellAnchor>
  <xdr:twoCellAnchor>
    <xdr:from>
      <xdr:col>4</xdr:col>
      <xdr:colOff>552450</xdr:colOff>
      <xdr:row>8</xdr:row>
      <xdr:rowOff>161925</xdr:rowOff>
    </xdr:from>
    <xdr:to>
      <xdr:col>13</xdr:col>
      <xdr:colOff>657225</xdr:colOff>
      <xdr:row>32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724101-51AA-0E38-A461-6B990BCC7BBF}"/>
            </a:ext>
            <a:ext uri="{147F2762-F138-4A5C-976F-8EAC2B608ADB}">
              <a16:predDERef xmlns:a16="http://schemas.microsoft.com/office/drawing/2014/main" pred="{C88C821C-328C-4490-AF21-2EDA1967D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514350</xdr:colOff>
      <xdr:row>33</xdr:row>
      <xdr:rowOff>85725</xdr:rowOff>
    </xdr:from>
    <xdr:to>
      <xdr:col>13</xdr:col>
      <xdr:colOff>695325</xdr:colOff>
      <xdr:row>49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EB669D-3226-2B07-1A16-B86D79D145EE}"/>
            </a:ext>
            <a:ext uri="{147F2762-F138-4A5C-976F-8EAC2B608ADB}">
              <a16:predDERef xmlns:a16="http://schemas.microsoft.com/office/drawing/2014/main" pred="{F9724101-51AA-0E38-A461-6B990BCC7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152400</xdr:colOff>
      <xdr:row>9</xdr:row>
      <xdr:rowOff>28575</xdr:rowOff>
    </xdr:from>
    <xdr:to>
      <xdr:col>20</xdr:col>
      <xdr:colOff>923925</xdr:colOff>
      <xdr:row>27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2BF90CC-6AE9-8391-D085-179571D7C65B}"/>
            </a:ext>
            <a:ext uri="{147F2762-F138-4A5C-976F-8EAC2B608ADB}">
              <a16:predDERef xmlns:a16="http://schemas.microsoft.com/office/drawing/2014/main" pred="{0CEB669D-3226-2B07-1A16-B86D79D145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7</xdr:col>
      <xdr:colOff>2219325</xdr:colOff>
      <xdr:row>4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664932-D281-73D1-AD66-80445897EAFA}"/>
            </a:ext>
          </a:extLst>
        </xdr:cNvPr>
        <xdr:cNvSpPr txBox="1"/>
      </xdr:nvSpPr>
      <xdr:spPr>
        <a:xfrm>
          <a:off x="9525" y="0"/>
          <a:ext cx="10915650" cy="942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>
              <a:latin typeface="Verdana" panose="020B0604030504040204" pitchFamily="34" charset="0"/>
              <a:ea typeface="Verdana" panose="020B0604030504040204" pitchFamily="34" charset="0"/>
            </a:rPr>
            <a:t>Erasmus+ Mobility Dashboard: Data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3B2FD9-0B0F-4AD6-B05E-C1F6BDAD3135}" autoFormatId="16" applyNumberFormats="0" applyBorderFormats="0" applyFontFormats="0" applyPatternFormats="0" applyAlignmentFormats="0" applyWidthHeightFormats="0">
  <queryTableRefresh nextId="11" unboundColumnsRight="3">
    <queryTableFields count="8">
      <queryTableField id="1" name="CNTR_ID" tableColumnId="1"/>
      <queryTableField id="2" name="year" tableColumnId="2"/>
      <queryTableField id="3" name="n" tableColumnId="3"/>
      <queryTableField id="4" name="population_rec" tableColumnId="4"/>
      <queryTableField id="5" name="gdp_value_rec" tableColumnId="5"/>
      <queryTableField id="10" dataBound="0" tableColumnId="10"/>
      <queryTableField id="9" dataBound="0" tableColumnId="9"/>
      <queryTableField id="8" dataBound="0" tableColumnId="8"/>
    </queryTableFields>
    <queryTableDeletedFields count="2">
      <deletedField name="participation_rate"/>
      <deletedField name="norm_gdp_val_rec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2D418-A494-4ED7-84AC-CFDAE83CC0BC}" name="geo_data" displayName="geo_data" ref="A6:H347" tableType="queryTable" totalsRowShown="0" headerRowDxfId="53" dataDxfId="52" headerRowBorderDxfId="50" tableBorderDxfId="51">
  <autoFilter ref="A6:H347" xr:uid="{2B82D418-A494-4ED7-84AC-CFDAE83CC0BC}"/>
  <tableColumns count="8">
    <tableColumn id="1" xr3:uid="{E0EBE1BF-8D27-4299-BBAB-0183621AA0B8}" uniqueName="1" name="CNTR_ID" queryTableFieldId="1" dataDxfId="49"/>
    <tableColumn id="2" xr3:uid="{9E71CB41-85D3-4804-87FF-D1FF02B39398}" uniqueName="2" name="year" queryTableFieldId="2" dataDxfId="48"/>
    <tableColumn id="3" xr3:uid="{0F83DAFB-1282-4E60-B760-F4C3E1271315}" uniqueName="3" name="n" queryTableFieldId="3" dataDxfId="47"/>
    <tableColumn id="4" xr3:uid="{F8420099-3469-4F0B-BA45-610D759C50B6}" uniqueName="4" name="population_rec" queryTableFieldId="4" dataDxfId="46"/>
    <tableColumn id="5" xr3:uid="{9D59A6BF-10D4-4460-A67E-6641C78714EF}" uniqueName="5" name="gdp_value_rec" queryTableFieldId="5" dataDxfId="45"/>
    <tableColumn id="10" xr3:uid="{4D55D3D3-F8D5-44AE-92A6-0EA03CFF3FDB}" uniqueName="10" name="norm_GDP" queryTableFieldId="10" dataDxfId="44">
      <calculatedColumnFormula>geo_data[[#This Row],[gdp_value_rec]]/geo_data[[#This Row],[population_rec]]*100</calculatedColumnFormula>
    </tableColumn>
    <tableColumn id="9" xr3:uid="{92FFAA72-0A07-4860-9FEA-1840A1CE718B}" uniqueName="9" name="participation_rate_to_population" queryTableFieldId="9" dataDxfId="43">
      <calculatedColumnFormula>geo_data[[#This Row],[n]]/geo_data[[#This Row],[population_rec]]*100</calculatedColumnFormula>
    </tableColumn>
    <tableColumn id="8" xr3:uid="{58367A7C-4BA1-4AA7-8898-8565CDC00D38}" uniqueName="8" name="participation_rate_to_erasmus" queryTableFieldId="8" dataDxfId="42">
      <calculatedColumnFormula>geo_data[[#This Row],[n]]/SUMIF(geo_data[year],geo_data[[#This Row],[year]],geo_data[n])*100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F11192-4105-4FAC-A036-91C46A21FA3B}" name="participation_by_country" displayName="participation_by_country" ref="A349:AM358" totalsRowShown="0" headerRowDxfId="41" dataDxfId="40" headerRowBorderDxfId="39">
  <autoFilter ref="A349:AM358" xr:uid="{C3F11192-4105-4FAC-A036-91C46A21FA3B}"/>
  <tableColumns count="39">
    <tableColumn id="39" xr3:uid="{47F87341-C9D8-4B1C-AB26-AF4F1EBF8377}" name="year" dataDxfId="38"/>
    <tableColumn id="1" xr3:uid="{CC620574-0EB9-4ACD-A81C-10DE270C3B73}" name="AL" dataDxfId="37">
      <calculatedColumnFormula>SUMIFS(
    geo_data[n],
    geo_data[year], $A350,
    geo_data[CNTR_ID], B$349
)</calculatedColumnFormula>
    </tableColumn>
    <tableColumn id="2" xr3:uid="{D3BD4B58-FF56-440E-8DF6-31F07F6DCA5F}" name="AT" dataDxfId="36">
      <calculatedColumnFormula>SUMIFS(
    geo_data[n],
    geo_data[year], $A350,
    geo_data[CNTR_ID], C$349
)</calculatedColumnFormula>
    </tableColumn>
    <tableColumn id="3" xr3:uid="{C6C44D78-D5BC-471A-A64D-4854D3313C27}" name="BE" dataDxfId="35">
      <calculatedColumnFormula>SUMIFS(
    geo_data[n],
    geo_data[year], $A350,
    geo_data[CNTR_ID], $D$349
)</calculatedColumnFormula>
    </tableColumn>
    <tableColumn id="4" xr3:uid="{17BCD583-CF80-4E12-8EAD-C8C4961C880F}" name="BG" dataDxfId="34">
      <calculatedColumnFormula>SUMIFS(
    geo_data[n],
    geo_data[year], $A350,
    geo_data[CNTR_ID], E$349
)</calculatedColumnFormula>
    </tableColumn>
    <tableColumn id="5" xr3:uid="{04D379E0-5413-4519-AE00-710FFADEA4B5}" name="CH" dataDxfId="33">
      <calculatedColumnFormula>SUMIFS(
    geo_data[n],
    geo_data[year], $A350,
    geo_data[CNTR_ID], F$349
)</calculatedColumnFormula>
    </tableColumn>
    <tableColumn id="6" xr3:uid="{31850A57-D686-4FDB-937F-578FE2959650}" name="CY" dataDxfId="32">
      <calculatedColumnFormula>SUMIFS( geo_data[n],
    geo_data[year], $A350,
    geo_data[CNTR_ID], G$349
)</calculatedColumnFormula>
    </tableColumn>
    <tableColumn id="7" xr3:uid="{47AABCEB-0DF8-457F-81C9-2D364597FDAB}" name="CZ" dataDxfId="31">
      <calculatedColumnFormula>SUMIFS(
    geo_data[n],
    geo_data[year], $A350,
    geo_data[CNTR_ID], H$349
)</calculatedColumnFormula>
    </tableColumn>
    <tableColumn id="8" xr3:uid="{0D4A18A4-B006-4F4E-93CA-45EB4B64A9EF}" name="DE" dataDxfId="30">
      <calculatedColumnFormula>SUMIFS(
    geo_data[n],
    geo_data[year], $A350,
    geo_data[CNTR_ID], I$349
)</calculatedColumnFormula>
    </tableColumn>
    <tableColumn id="9" xr3:uid="{7D2E5196-1C06-4F02-A7BD-6561B721D319}" name="DK" dataDxfId="29">
      <calculatedColumnFormula>SUMIFS(
    geo_data[n],
    geo_data[year], $A350,
    geo_data[CNTR_ID], J$349
)</calculatedColumnFormula>
    </tableColumn>
    <tableColumn id="10" xr3:uid="{9DA416DA-C399-40CB-B7D6-F73FC9F2C20C}" name="EE" dataDxfId="28">
      <calculatedColumnFormula>SUMIFS(
    geo_data[n],
    geo_data[year], $A350,
    geo_data[CNTR_ID], K$349
)</calculatedColumnFormula>
    </tableColumn>
    <tableColumn id="11" xr3:uid="{ABFE69AB-416F-4BC0-85D4-3E51C9C901D1}" name="ES" dataDxfId="27">
      <calculatedColumnFormula>SUMIFS(
    geo_data[n],
    geo_data[year], $A350,
    geo_data[CNTR_ID], L$349
)</calculatedColumnFormula>
    </tableColumn>
    <tableColumn id="12" xr3:uid="{3E6C6F7C-7FD5-4563-B190-D83153BEE90F}" name="FI" dataDxfId="26">
      <calculatedColumnFormula>SUMIFS(
    geo_data[n],
    geo_data[year], $A350,
    geo_data[CNTR_ID], M$349
)</calculatedColumnFormula>
    </tableColumn>
    <tableColumn id="13" xr3:uid="{7C5BD80C-0388-4E1A-8561-AD64BDFA3E54}" name="FR" dataDxfId="25">
      <calculatedColumnFormula>SUMIFS(
    geo_data[n],
    geo_data[year], $A350,
    geo_data[CNTR_ID], N$349
)</calculatedColumnFormula>
    </tableColumn>
    <tableColumn id="14" xr3:uid="{287828D5-1559-4038-970C-EA3EADF70B2D}" name="HR" dataDxfId="24">
      <calculatedColumnFormula>SUMIFS(
    geo_data[n],
    geo_data[year], $A350,
    geo_data[CNTR_ID], O$349
)</calculatedColumnFormula>
    </tableColumn>
    <tableColumn id="15" xr3:uid="{B1FD41D0-51B9-4243-B140-44EDACE867F4}" name="HU" dataDxfId="23">
      <calculatedColumnFormula>SUMIFS(
    geo_data[n],
    geo_data[year], $A350,
    geo_data[CNTR_ID], P$349
)</calculatedColumnFormula>
    </tableColumn>
    <tableColumn id="16" xr3:uid="{D7687E2B-BDA9-4A29-820F-CCF85478C8C1}" name="IE" dataDxfId="22">
      <calculatedColumnFormula>SUMIFS(
    geo_data[n],
    geo_data[year], $A350,
    geo_data[CNTR_ID], Q$349
)</calculatedColumnFormula>
    </tableColumn>
    <tableColumn id="17" xr3:uid="{9EFC03FB-1F0D-4275-AEC6-AC45D08E9385}" name="IS" dataDxfId="21">
      <calculatedColumnFormula>SUMIFS(
    geo_data[n],
    geo_data[year], $A350,
    geo_data[CNTR_ID], R$349
)</calculatedColumnFormula>
    </tableColumn>
    <tableColumn id="18" xr3:uid="{71964F85-6AB6-4F8A-AB06-DEE33B0C9834}" name="IT" dataDxfId="20">
      <calculatedColumnFormula>SUMIFS(
    geo_data[n],
    geo_data[year], $A350,
    geo_data[CNTR_ID], S$349
)</calculatedColumnFormula>
    </tableColumn>
    <tableColumn id="19" xr3:uid="{2F7EBF14-5D3B-4311-A4FF-C212F488F2A5}" name="LI" dataDxfId="19">
      <calculatedColumnFormula>SUMIFS(
    geo_data[n],
    geo_data[year], $A350,
    geo_data[CNTR_ID], T$349
)</calculatedColumnFormula>
    </tableColumn>
    <tableColumn id="20" xr3:uid="{0A4DCAD5-B9F4-453E-9014-CC8D9330F383}" name="LT" dataDxfId="18">
      <calculatedColumnFormula>SUMIFS(
    geo_data[n],
    geo_data[year], $A350,
    geo_data[CNTR_ID], U$349
)</calculatedColumnFormula>
    </tableColumn>
    <tableColumn id="21" xr3:uid="{5FE44DCB-E0B3-46C2-97E3-556FA03B2435}" name="LU" dataDxfId="17">
      <calculatedColumnFormula>SUMIFS(
    geo_data[n],
    geo_data[year], $A350,
    geo_data[CNTR_ID], V$349
)</calculatedColumnFormula>
    </tableColumn>
    <tableColumn id="22" xr3:uid="{5855CAD2-5C75-4C5A-B3E2-98989173F645}" name="LV" dataDxfId="16">
      <calculatedColumnFormula>SUMIFS(
    geo_data[n],
    geo_data[year], $A350,
    geo_data[CNTR_ID], W$349
)</calculatedColumnFormula>
    </tableColumn>
    <tableColumn id="23" xr3:uid="{3B48B8D8-4CE9-4D43-9D69-532BD6D74C88}" name="MD" dataDxfId="15">
      <calculatedColumnFormula>SUMIFS(
    geo_data[n],
    geo_data[year], $A350,
    geo_data[CNTR_ID], X$349
)</calculatedColumnFormula>
    </tableColumn>
    <tableColumn id="24" xr3:uid="{1300AD73-6340-45C4-86B7-EB50DE375031}" name="ME" dataDxfId="14">
      <calculatedColumnFormula>SUMIFS(
    geo_data[n],
    geo_data[year], $A350,
    geo_data[CNTR_ID], Y$349
)</calculatedColumnFormula>
    </tableColumn>
    <tableColumn id="25" xr3:uid="{C03E23DB-2DB3-43FF-8D44-4465B1C65650}" name="MK" dataDxfId="13">
      <calculatedColumnFormula>SUMIFS(
    geo_data[n],
    geo_data[year], $A350,
    geo_data[CNTR_ID], Z$349
)</calculatedColumnFormula>
    </tableColumn>
    <tableColumn id="26" xr3:uid="{3B331031-1CAC-4C47-BF26-F7046B0713BE}" name="MT" dataDxfId="12">
      <calculatedColumnFormula>SUMIFS(
    geo_data[n],
    geo_data[year], $A350,
    geo_data[CNTR_ID], AA$349
)</calculatedColumnFormula>
    </tableColumn>
    <tableColumn id="27" xr3:uid="{72385644-2943-4546-A1A5-A6084DC2837F}" name="NL" dataDxfId="11">
      <calculatedColumnFormula>SUMIFS(
    geo_data[n],
    geo_data[year], $A350,
    geo_data[CNTR_ID], AB$349
)</calculatedColumnFormula>
    </tableColumn>
    <tableColumn id="28" xr3:uid="{9EA02418-4CF0-434E-BDFB-44652FE95CA4}" name="NO" dataDxfId="10">
      <calculatedColumnFormula>SUMIFS(
    geo_data[n],
    geo_data[year], $A350,
    geo_data[CNTR_ID], AC$349
)</calculatedColumnFormula>
    </tableColumn>
    <tableColumn id="29" xr3:uid="{15345449-D70C-4062-B233-47CF89DCFAE7}" name="PL" dataDxfId="9">
      <calculatedColumnFormula>SUMIFS(
    geo_data[n],
    geo_data[year], $A350,
    geo_data[CNTR_ID], AD$349
)</calculatedColumnFormula>
    </tableColumn>
    <tableColumn id="30" xr3:uid="{23020067-7E67-401E-BACC-CFCBD1C57B49}" name="PT" dataDxfId="8">
      <calculatedColumnFormula>SUMIFS(
    geo_data[n],
    geo_data[year], $A350,
    geo_data[CNTR_ID], AE$349
)</calculatedColumnFormula>
    </tableColumn>
    <tableColumn id="31" xr3:uid="{FB9B4B33-D5FF-4A39-8BE4-0913EB54FC59}" name="RO" dataDxfId="7">
      <calculatedColumnFormula>SUMIFS(
    geo_data[n],
    geo_data[year], $A350,
    geo_data[CNTR_ID], AF$349
)</calculatedColumnFormula>
    </tableColumn>
    <tableColumn id="32" xr3:uid="{F4B67725-3522-4D5C-8AF0-C35F8608936D}" name="RS" dataDxfId="6">
      <calculatedColumnFormula>SUMIFS(
    geo_data[n],
    geo_data[year], $A350,
    geo_data[CNTR_ID], AG$349
)</calculatedColumnFormula>
    </tableColumn>
    <tableColumn id="33" xr3:uid="{0DBD5480-B8AE-4147-80DB-7AAD503FAED6}" name="SE" dataDxfId="5">
      <calculatedColumnFormula>SUMIFS(
    geo_data[n],
    geo_data[year], $A350,
    geo_data[CNTR_ID], AH$349
)</calculatedColumnFormula>
    </tableColumn>
    <tableColumn id="34" xr3:uid="{CCB41EAE-2140-4C57-A806-5351C9FE1FDB}" name="SI" dataDxfId="4">
      <calculatedColumnFormula>SUMIFS(
    geo_data[n],
    geo_data[year], $A350,
    geo_data[CNTR_ID], AI$349
)</calculatedColumnFormula>
    </tableColumn>
    <tableColumn id="35" xr3:uid="{791A4985-D456-4F8A-B7FD-E100B9D721A2}" name="SK" dataDxfId="3">
      <calculatedColumnFormula>SUMIFS(
    geo_data[n],
    geo_data[year], $A350,
    geo_data[CNTR_ID], AJ$349
)</calculatedColumnFormula>
    </tableColumn>
    <tableColumn id="36" xr3:uid="{194BC76C-FEE1-44F9-BBFA-C6B1BDA719DF}" name="TR" dataDxfId="2">
      <calculatedColumnFormula>SUMIFS(
    geo_data[n],
    geo_data[year], $A350,
    geo_data[CNTR_ID], AK$349
)</calculatedColumnFormula>
    </tableColumn>
    <tableColumn id="37" xr3:uid="{A619FABA-7D6A-4689-B8A0-AC20F798E0A6}" name="UA" dataDxfId="1">
      <calculatedColumnFormula>SUMIFS(
    geo_data[n],
    geo_data[year], $A350,
    geo_data[CNTR_ID], AL$349
)</calculatedColumnFormula>
    </tableColumn>
    <tableColumn id="38" xr3:uid="{04E307D2-0E17-46C3-A775-9F391DDBA134}" name="XK" dataDxfId="0">
      <calculatedColumnFormula>SUMIFS(
    geo_data[n],
    geo_data[year], $A350,
    geo_data[CNTR_ID], AM$349
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DA52-9CD9-44FD-A290-B618D16EF0B2}">
  <dimension ref="A6:V52"/>
  <sheetViews>
    <sheetView tabSelected="1" workbookViewId="0">
      <selection activeCell="K8" sqref="K8"/>
    </sheetView>
  </sheetViews>
  <sheetFormatPr defaultRowHeight="15"/>
  <cols>
    <col min="1" max="1" width="11.28515625" bestFit="1" customWidth="1"/>
    <col min="2" max="2" width="13" bestFit="1" customWidth="1"/>
    <col min="3" max="4" width="18.42578125" bestFit="1" customWidth="1"/>
    <col min="5" max="5" width="9.28515625" customWidth="1"/>
    <col min="11" max="11" width="9.28515625" bestFit="1" customWidth="1"/>
    <col min="12" max="12" width="11.28515625" bestFit="1" customWidth="1"/>
    <col min="13" max="13" width="13" bestFit="1" customWidth="1"/>
    <col min="14" max="14" width="18.42578125" bestFit="1" customWidth="1"/>
    <col min="15" max="15" width="16.28515625" bestFit="1" customWidth="1"/>
    <col min="19" max="19" width="11.28515625" bestFit="1" customWidth="1"/>
    <col min="20" max="20" width="17.140625" bestFit="1" customWidth="1"/>
    <col min="21" max="21" width="18.42578125" bestFit="1" customWidth="1"/>
    <col min="22" max="22" width="16.28515625" bestFit="1" customWidth="1"/>
  </cols>
  <sheetData>
    <row r="6" spans="1:22" ht="15" customHeight="1">
      <c r="A6" s="19" t="s">
        <v>0</v>
      </c>
      <c r="B6" s="19"/>
      <c r="C6" s="19"/>
      <c r="D6" s="19"/>
      <c r="E6" s="19"/>
      <c r="F6" s="19"/>
      <c r="G6" s="19"/>
      <c r="H6" s="19"/>
      <c r="I6" s="19"/>
      <c r="J6" s="14"/>
      <c r="K6" s="15"/>
      <c r="L6" s="15"/>
      <c r="M6" s="14"/>
      <c r="N6" s="14"/>
      <c r="O6" s="17"/>
      <c r="P6" s="17"/>
      <c r="Q6" s="17"/>
      <c r="R6" s="17"/>
      <c r="S6" s="17"/>
      <c r="T6" s="17"/>
      <c r="U6" s="17"/>
    </row>
    <row r="7" spans="1:22" ht="19.5" customHeight="1">
      <c r="A7" s="19"/>
      <c r="B7" s="19"/>
      <c r="C7" s="19"/>
      <c r="D7" s="19"/>
      <c r="E7" s="19"/>
      <c r="F7" s="19"/>
      <c r="G7" s="19"/>
      <c r="H7" s="19"/>
      <c r="I7" s="19"/>
      <c r="J7" s="15"/>
      <c r="K7" s="16">
        <v>2021</v>
      </c>
      <c r="L7" s="15"/>
      <c r="M7" s="14"/>
      <c r="N7" s="14"/>
      <c r="O7" s="20" t="s">
        <v>1</v>
      </c>
      <c r="P7" s="20"/>
      <c r="Q7" s="20"/>
      <c r="R7" s="20"/>
      <c r="S7" s="20"/>
      <c r="T7" s="20"/>
      <c r="U7" s="20"/>
      <c r="V7" s="11"/>
    </row>
    <row r="8" spans="1:22" ht="15" customHeight="1">
      <c r="A8" s="19"/>
      <c r="B8" s="19"/>
      <c r="C8" s="19"/>
      <c r="D8" s="19"/>
      <c r="E8" s="19"/>
      <c r="F8" s="19"/>
      <c r="G8" s="19"/>
      <c r="H8" s="19"/>
      <c r="I8" s="19"/>
      <c r="J8" s="15"/>
      <c r="K8" s="15"/>
      <c r="L8" s="15"/>
      <c r="M8" s="14"/>
      <c r="N8" s="14"/>
      <c r="O8" s="17"/>
      <c r="P8" s="17"/>
      <c r="Q8" s="17"/>
      <c r="R8" s="17"/>
      <c r="S8" s="18"/>
      <c r="T8" s="18"/>
      <c r="U8" s="18"/>
      <c r="V8" s="11"/>
    </row>
    <row r="9" spans="1:22">
      <c r="A9" s="12" t="s">
        <v>2</v>
      </c>
      <c r="B9" s="23" t="s">
        <v>3</v>
      </c>
      <c r="C9" s="23" t="s">
        <v>4</v>
      </c>
      <c r="D9" s="23" t="s">
        <v>5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2">
      <c r="A10" s="13" t="str" cm="1">
        <f t="array" ref="A10:D46">_xlfn.CHOOSECOLS(_xlfn._xlws.FILTER(geo_data[], geo_data[year]=K7),1,6,7,8)</f>
        <v>AL</v>
      </c>
      <c r="B10" s="25">
        <v>0.53867474090384948</v>
      </c>
      <c r="C10" s="25">
        <v>3.0144101527312922E-2</v>
      </c>
      <c r="D10" s="25">
        <v>0.2191298003683847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2">
      <c r="A11" s="13" t="str">
        <v>AT</v>
      </c>
      <c r="B11" s="25">
        <v>4.5477082760529228</v>
      </c>
      <c r="C11" s="25">
        <v>8.5405652781745736E-2</v>
      </c>
      <c r="D11" s="25">
        <v>1.9598373352994216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2">
      <c r="A12" s="13" t="str">
        <v>BE</v>
      </c>
      <c r="B12" s="25">
        <v>4.3795534777983844</v>
      </c>
      <c r="C12" s="25">
        <v>9.516418634837033E-2</v>
      </c>
      <c r="D12" s="25">
        <v>2.8247963480079226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2">
      <c r="A13" s="13" t="str">
        <v>BG</v>
      </c>
      <c r="B13" s="25">
        <v>1.0922018083876941</v>
      </c>
      <c r="C13" s="25">
        <v>0.11152586519806672</v>
      </c>
      <c r="D13" s="25">
        <v>1.8714661145177989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2">
      <c r="A14" s="13" t="str">
        <v>CY</v>
      </c>
      <c r="B14" s="25">
        <v>2.8081546153206864</v>
      </c>
      <c r="C14" s="25">
        <v>9.2183939217650321E-2</v>
      </c>
      <c r="D14" s="25">
        <v>0.21656086953170958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2">
      <c r="A15" s="13" t="str">
        <v>CZ</v>
      </c>
      <c r="B15" s="25">
        <v>2.3441271497715634</v>
      </c>
      <c r="C15" s="25">
        <v>0.10324125122107672</v>
      </c>
      <c r="D15" s="25">
        <v>2.7834365615374534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2">
      <c r="A16" s="13" t="str">
        <v>DE</v>
      </c>
      <c r="B16" s="25">
        <v>4.4282828780377699</v>
      </c>
      <c r="C16" s="25">
        <v>4.9858679025686373E-2</v>
      </c>
      <c r="D16" s="25">
        <v>10.6507872488549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>
      <c r="A17" s="13" t="str">
        <v>DK</v>
      </c>
      <c r="B17" s="25">
        <v>5.8786978524994238</v>
      </c>
      <c r="C17" s="25">
        <v>7.258505713568987E-2</v>
      </c>
      <c r="D17" s="25">
        <v>1.0889697816665682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>
      <c r="A18" s="13" t="str">
        <v>EE</v>
      </c>
      <c r="B18" s="25">
        <v>2.364788867937579</v>
      </c>
      <c r="C18" s="25">
        <v>0.21277107636602038</v>
      </c>
      <c r="D18" s="25">
        <v>0.72700742677904884</v>
      </c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>
      <c r="A19" s="13" t="str">
        <v>ES</v>
      </c>
      <c r="B19" s="25">
        <v>2.6064413514726059</v>
      </c>
      <c r="C19" s="25">
        <v>0.11452127873459007</v>
      </c>
      <c r="D19" s="25">
        <v>13.945184153807027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>
      <c r="A20" s="13" t="str">
        <v>FI</v>
      </c>
      <c r="B20" s="26">
        <v>4.495361499788662</v>
      </c>
      <c r="C20" s="25">
        <v>4.9568171415157736E-2</v>
      </c>
      <c r="D20" s="25">
        <v>0.70465772849997554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>
      <c r="A21" s="13" t="str">
        <v>FR</v>
      </c>
      <c r="B21" s="25">
        <v>3.7031674728454318</v>
      </c>
      <c r="C21" s="25">
        <v>7.4453072741771237E-2</v>
      </c>
      <c r="D21" s="25">
        <v>12.954090637017778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>
      <c r="A22" s="13" t="str">
        <v>HR</v>
      </c>
      <c r="B22" s="25">
        <v>1.499871822073626</v>
      </c>
      <c r="C22" s="25">
        <v>0.11230338559259559</v>
      </c>
      <c r="D22" s="25">
        <v>1.1231365617943467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>
      <c r="A23" s="13" t="str">
        <v>HU</v>
      </c>
      <c r="B23" s="25">
        <v>1.6056812538536913</v>
      </c>
      <c r="C23" s="25">
        <v>8.1676753395159549E-2</v>
      </c>
      <c r="D23" s="25">
        <v>2.0250881785509689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>
      <c r="A24" s="13" t="str">
        <v>IE</v>
      </c>
      <c r="B24" s="25">
        <v>8.8504947706612302</v>
      </c>
      <c r="C24" s="25">
        <v>7.4641402532084261E-2</v>
      </c>
      <c r="D24" s="25">
        <v>0.9715696424305168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>
      <c r="A25" s="13" t="str">
        <v>IS</v>
      </c>
      <c r="B25" s="25">
        <v>6.0164266036139606</v>
      </c>
      <c r="C25" s="25">
        <v>0.13015466712943882</v>
      </c>
      <c r="D25" s="25">
        <v>0.12330868016040405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>
      <c r="A26" s="13" t="str">
        <v>IT</v>
      </c>
      <c r="B26" s="25">
        <v>3.1104409054643649</v>
      </c>
      <c r="C26" s="25">
        <v>8.1426542240301561E-2</v>
      </c>
      <c r="D26" s="25">
        <v>12.390980997618602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>
      <c r="A27" s="13" t="str">
        <v>LI</v>
      </c>
      <c r="B27" s="25">
        <v>17.125848162847266</v>
      </c>
      <c r="C27" s="25">
        <v>0.15875048009217771</v>
      </c>
      <c r="D27" s="25">
        <v>1.5927371187385523E-2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>
      <c r="A28" s="13" t="str">
        <v>LT</v>
      </c>
      <c r="B28" s="25">
        <v>2.0175710421483717</v>
      </c>
      <c r="C28" s="25">
        <v>0.28810702866590221</v>
      </c>
      <c r="D28" s="25">
        <v>2.0803201915394833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>
      <c r="A29" s="13" t="str">
        <v>LU</v>
      </c>
      <c r="B29" s="25">
        <v>11.507176279677973</v>
      </c>
      <c r="C29" s="25">
        <v>7.1211381217210462E-2</v>
      </c>
      <c r="D29" s="25">
        <v>0.11611567381771382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>
      <c r="A30" s="13" t="str">
        <v>LV</v>
      </c>
      <c r="B30" s="25">
        <v>1.7052296533477567</v>
      </c>
      <c r="C30" s="25">
        <v>0.23673914800316712</v>
      </c>
      <c r="D30" s="25">
        <v>1.1513948009977726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>
      <c r="A31" s="13" t="str">
        <v>MD</v>
      </c>
      <c r="B31" s="25">
        <v>0.4376786102679035</v>
      </c>
      <c r="C31" s="25">
        <v>1.7967412787123986E-2</v>
      </c>
      <c r="D31" s="25">
        <v>0.1220242147420665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>
      <c r="A32" s="13" t="str">
        <v>ME</v>
      </c>
      <c r="B32" s="25">
        <v>0.79311916924826686</v>
      </c>
      <c r="C32" s="25">
        <v>5.0907063999523154E-2</v>
      </c>
      <c r="D32" s="25">
        <v>8.1178214438932667E-2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>
      <c r="A33" s="13" t="str">
        <v>MK</v>
      </c>
      <c r="B33" s="25">
        <v>0.57205405238185469</v>
      </c>
      <c r="C33" s="25">
        <v>0.12780306340656067</v>
      </c>
      <c r="D33" s="25">
        <v>0.67922531321689228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>
      <c r="A34" s="13" t="str">
        <v>MT</v>
      </c>
      <c r="B34" s="25">
        <v>3.2321046258173891</v>
      </c>
      <c r="C34" s="25">
        <v>0.15519496246064424</v>
      </c>
      <c r="D34" s="25">
        <v>0.20577136001767427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>
      <c r="A35" s="13" t="str">
        <v>NL</v>
      </c>
      <c r="B35" s="25">
        <v>5.1017386425443974</v>
      </c>
      <c r="C35" s="25">
        <v>6.5560674810870023E-2</v>
      </c>
      <c r="D35" s="25">
        <v>2.9432240595786441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>
      <c r="A36" s="13" t="str">
        <v>NO</v>
      </c>
      <c r="B36" s="25">
        <v>8.1769324266248518</v>
      </c>
      <c r="C36" s="25">
        <v>5.8333977882055556E-2</v>
      </c>
      <c r="D36" s="25">
        <v>0.80792874813431403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>
      <c r="A37" s="13" t="str">
        <v>PL</v>
      </c>
      <c r="B37" s="25">
        <v>1.5725616647016887</v>
      </c>
      <c r="C37" s="25">
        <v>6.7393411392445521E-2</v>
      </c>
      <c r="D37" s="25">
        <v>6.4184736954326986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>
      <c r="A38" s="13" t="str">
        <v>PT</v>
      </c>
      <c r="B38" s="25">
        <v>2.0828123344945793</v>
      </c>
      <c r="C38" s="25">
        <v>0.12624230383257279</v>
      </c>
      <c r="D38" s="25">
        <v>3.3709510438850456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>
      <c r="A39" s="13" t="str">
        <v>RO</v>
      </c>
      <c r="B39" s="25">
        <v>1.255029903140676</v>
      </c>
      <c r="C39" s="25">
        <v>9.1872255641204395E-2</v>
      </c>
      <c r="D39" s="25">
        <v>4.5318508889785161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>
      <c r="A40" s="13" t="str">
        <v>RS</v>
      </c>
      <c r="B40" s="25">
        <v>0.81395499441392172</v>
      </c>
      <c r="C40" s="25">
        <v>3.0429828974465285E-2</v>
      </c>
      <c r="D40" s="25">
        <v>0.53716343794876009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>
      <c r="A41" s="13" t="str">
        <v>SE</v>
      </c>
      <c r="B41" s="25">
        <v>5.1444110606741598</v>
      </c>
      <c r="C41" s="25">
        <v>4.7007046239653079E-2</v>
      </c>
      <c r="D41" s="25">
        <v>1.2533813552137736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>
      <c r="A42" s="13" t="str">
        <v>SI</v>
      </c>
      <c r="B42" s="25">
        <v>2.467186697626385</v>
      </c>
      <c r="C42" s="25">
        <v>0.18568244224569541</v>
      </c>
      <c r="D42" s="25">
        <v>1.0059933156419629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>
      <c r="A43" s="13" t="str">
        <v>SK</v>
      </c>
      <c r="B43" s="25">
        <v>1.8662213740807554</v>
      </c>
      <c r="C43" s="25">
        <v>0.11238546014940892</v>
      </c>
      <c r="D43" s="25">
        <v>1.5762959613838317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>
      <c r="A44" s="13" t="str">
        <v>TR</v>
      </c>
      <c r="B44" s="25">
        <v>0.84572289148125057</v>
      </c>
      <c r="C44" s="25">
        <v>2.7323057251815181E-2</v>
      </c>
      <c r="D44" s="25">
        <v>5.8689793894678974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>
      <c r="A45" s="13" t="str">
        <v>UA</v>
      </c>
      <c r="B45" s="25">
        <v>0.40793223990979721</v>
      </c>
      <c r="C45" s="25">
        <v>5.0073979838631891E-3</v>
      </c>
      <c r="D45" s="25">
        <v>0.53279625552641252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>
      <c r="A46" s="13" t="str">
        <v>XK</v>
      </c>
      <c r="B46" s="25">
        <v>0.44255154917233258</v>
      </c>
      <c r="C46" s="25">
        <v>2.6193063453947479E-2</v>
      </c>
      <c r="D46" s="25">
        <v>0.12099664240739645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>
      <c r="A47" s="13"/>
      <c r="B47" s="25"/>
      <c r="C47" s="25"/>
      <c r="D47" s="25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>
      <c r="A52" s="24"/>
    </row>
  </sheetData>
  <mergeCells count="2">
    <mergeCell ref="A6:I8"/>
    <mergeCell ref="O7:U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FEC4-C436-4A09-ADDC-9B730070F1B8}">
  <dimension ref="A6:AM358"/>
  <sheetViews>
    <sheetView topLeftCell="A108" workbookViewId="0">
      <selection activeCell="AM351" sqref="AM351"/>
    </sheetView>
  </sheetViews>
  <sheetFormatPr defaultRowHeight="15"/>
  <cols>
    <col min="1" max="1" width="13.5703125" bestFit="1" customWidth="1"/>
    <col min="2" max="2" width="8.42578125" bestFit="1" customWidth="1"/>
    <col min="3" max="3" width="9.28515625" bestFit="1" customWidth="1"/>
    <col min="4" max="4" width="19.7109375" bestFit="1" customWidth="1"/>
    <col min="5" max="5" width="19.5703125" bestFit="1" customWidth="1"/>
    <col min="6" max="6" width="20.42578125" bestFit="1" customWidth="1"/>
    <col min="7" max="7" width="39.5703125" bestFit="1" customWidth="1"/>
    <col min="8" max="8" width="37.28515625" bestFit="1" customWidth="1"/>
    <col min="17" max="17" width="10" bestFit="1" customWidth="1"/>
  </cols>
  <sheetData>
    <row r="6" spans="1:10">
      <c r="A6" s="9" t="s">
        <v>2</v>
      </c>
      <c r="B6" s="5" t="s">
        <v>6</v>
      </c>
      <c r="C6" s="6" t="s">
        <v>7</v>
      </c>
      <c r="D6" s="5" t="s">
        <v>8</v>
      </c>
      <c r="E6" s="5" t="s">
        <v>9</v>
      </c>
      <c r="F6" s="5" t="s">
        <v>3</v>
      </c>
      <c r="G6" s="5" t="s">
        <v>10</v>
      </c>
      <c r="H6" s="7" t="s">
        <v>11</v>
      </c>
      <c r="I6" s="1"/>
      <c r="J6" s="1"/>
    </row>
    <row r="7" spans="1:10">
      <c r="A7" s="8" t="s">
        <v>12</v>
      </c>
      <c r="B7" s="2">
        <v>2014</v>
      </c>
      <c r="C7" s="3">
        <v>153</v>
      </c>
      <c r="D7" s="2">
        <v>2892394</v>
      </c>
      <c r="E7" s="2">
        <v>10020</v>
      </c>
      <c r="F7" s="4">
        <f>geo_data[[#This Row],[gdp_value_rec]]/geo_data[[#This Row],[population_rec]]*100</f>
        <v>0.34642583271850241</v>
      </c>
      <c r="G7" s="4">
        <f>geo_data[[#This Row],[n]]/geo_data[[#This Row],[population_rec]]*100</f>
        <v>5.2897357690549762E-3</v>
      </c>
      <c r="H7" s="10">
        <f>geo_data[[#This Row],[n]]/SUMIF(geo_data[year],geo_data[[#This Row],[year]],geo_data[n])*100</f>
        <v>7.5994635672776034E-2</v>
      </c>
    </row>
    <row r="8" spans="1:10">
      <c r="A8" s="8" t="s">
        <v>12</v>
      </c>
      <c r="B8" s="2">
        <v>2015</v>
      </c>
      <c r="C8" s="3">
        <v>554</v>
      </c>
      <c r="D8" s="2">
        <v>2885796</v>
      </c>
      <c r="E8" s="2">
        <v>10339.200000000001</v>
      </c>
      <c r="F8" s="4">
        <f>geo_data[[#This Row],[gdp_value_rec]]/geo_data[[#This Row],[population_rec]]*100</f>
        <v>0.35827896358578365</v>
      </c>
      <c r="G8" s="4">
        <f>geo_data[[#This Row],[n]]/geo_data[[#This Row],[population_rec]]*100</f>
        <v>1.9197476190278177E-2</v>
      </c>
      <c r="H8" s="4">
        <f>geo_data[[#This Row],[n]]/SUMIF(geo_data[year],geo_data[[#This Row],[year]],geo_data[n])*100</f>
        <v>0.12104421391178193</v>
      </c>
    </row>
    <row r="9" spans="1:10">
      <c r="A9" s="8" t="s">
        <v>12</v>
      </c>
      <c r="B9" s="2">
        <v>2016</v>
      </c>
      <c r="C9" s="3">
        <v>632</v>
      </c>
      <c r="D9" s="2">
        <v>2875592</v>
      </c>
      <c r="E9" s="2">
        <v>10835.1</v>
      </c>
      <c r="F9" s="4">
        <f>geo_data[[#This Row],[gdp_value_rec]]/geo_data[[#This Row],[population_rec]]*100</f>
        <v>0.37679545637906908</v>
      </c>
      <c r="G9" s="4">
        <f>geo_data[[#This Row],[n]]/geo_data[[#This Row],[population_rec]]*100</f>
        <v>2.1978083121666773E-2</v>
      </c>
      <c r="H9" s="4">
        <f>geo_data[[#This Row],[n]]/SUMIF(geo_data[year],geo_data[[#This Row],[year]],geo_data[n])*100</f>
        <v>0.12590644672882301</v>
      </c>
    </row>
    <row r="10" spans="1:10">
      <c r="A10" s="8" t="s">
        <v>12</v>
      </c>
      <c r="B10" s="2">
        <v>2017</v>
      </c>
      <c r="C10" s="3">
        <v>881</v>
      </c>
      <c r="D10" s="2">
        <v>2876591</v>
      </c>
      <c r="E10" s="2">
        <v>11770.8</v>
      </c>
      <c r="F10" s="4">
        <f>geo_data[[#This Row],[gdp_value_rec]]/geo_data[[#This Row],[population_rec]]*100</f>
        <v>0.40919268676012677</v>
      </c>
      <c r="G10" s="4">
        <f>geo_data[[#This Row],[n]]/geo_data[[#This Row],[population_rec]]*100</f>
        <v>3.0626529805592797E-2</v>
      </c>
      <c r="H10" s="4">
        <f>geo_data[[#This Row],[n]]/SUMIF(geo_data[year],geo_data[[#This Row],[year]],geo_data[n])*100</f>
        <v>0.16492321055508546</v>
      </c>
    </row>
    <row r="11" spans="1:10">
      <c r="A11" s="8" t="s">
        <v>12</v>
      </c>
      <c r="B11" s="2">
        <v>2018</v>
      </c>
      <c r="C11" s="3">
        <v>924</v>
      </c>
      <c r="D11" s="2">
        <v>2870324</v>
      </c>
      <c r="E11" s="2">
        <v>13016.9</v>
      </c>
      <c r="F11" s="4">
        <f>geo_data[[#This Row],[gdp_value_rec]]/geo_data[[#This Row],[population_rec]]*100</f>
        <v>0.45349932620846989</v>
      </c>
      <c r="G11" s="4">
        <f>geo_data[[#This Row],[n]]/geo_data[[#This Row],[population_rec]]*100</f>
        <v>3.2191487790228561E-2</v>
      </c>
      <c r="H11" s="4">
        <f>geo_data[[#This Row],[n]]/SUMIF(geo_data[year],geo_data[[#This Row],[year]],geo_data[n])*100</f>
        <v>0.15998227036311127</v>
      </c>
    </row>
    <row r="12" spans="1:10">
      <c r="A12" s="8" t="s">
        <v>12</v>
      </c>
      <c r="B12" s="2">
        <v>2019</v>
      </c>
      <c r="C12" s="3">
        <v>1295</v>
      </c>
      <c r="D12" s="2">
        <v>2862427</v>
      </c>
      <c r="E12" s="2">
        <v>13917.9</v>
      </c>
      <c r="F12" s="4">
        <f>geo_data[[#This Row],[gdp_value_rec]]/geo_data[[#This Row],[population_rec]]*100</f>
        <v>0.48622724701800252</v>
      </c>
      <c r="G12" s="4">
        <f>geo_data[[#This Row],[n]]/geo_data[[#This Row],[population_rec]]*100</f>
        <v>4.5241328425144119E-2</v>
      </c>
      <c r="H12" s="4">
        <f>geo_data[[#This Row],[n]]/SUMIF(geo_data[year],geo_data[[#This Row],[year]],geo_data[n])*100</f>
        <v>0.20928312046788916</v>
      </c>
    </row>
    <row r="13" spans="1:10">
      <c r="A13" s="8" t="s">
        <v>12</v>
      </c>
      <c r="B13" s="2">
        <v>2020</v>
      </c>
      <c r="C13" s="3">
        <v>481</v>
      </c>
      <c r="D13" s="2">
        <v>2845955</v>
      </c>
      <c r="E13" s="2">
        <v>13379.5</v>
      </c>
      <c r="F13" s="4">
        <f>geo_data[[#This Row],[gdp_value_rec]]/geo_data[[#This Row],[population_rec]]*100</f>
        <v>0.47012338564734857</v>
      </c>
      <c r="G13" s="4">
        <f>geo_data[[#This Row],[n]]/geo_data[[#This Row],[population_rec]]*100</f>
        <v>1.690118079871256E-2</v>
      </c>
      <c r="H13" s="4">
        <f>geo_data[[#This Row],[n]]/SUMIF(geo_data[year],geo_data[[#This Row],[year]],geo_data[n])*100</f>
        <v>0.20653970843978789</v>
      </c>
    </row>
    <row r="14" spans="1:10">
      <c r="A14" s="8" t="s">
        <v>12</v>
      </c>
      <c r="B14" s="2">
        <v>2021</v>
      </c>
      <c r="C14" s="3">
        <v>853</v>
      </c>
      <c r="D14" s="2">
        <v>2829741</v>
      </c>
      <c r="E14" s="2">
        <v>15243.1</v>
      </c>
      <c r="F14" s="4">
        <f>geo_data[[#This Row],[gdp_value_rec]]/geo_data[[#This Row],[population_rec]]*100</f>
        <v>0.53867474090384948</v>
      </c>
      <c r="G14" s="4">
        <f>geo_data[[#This Row],[n]]/geo_data[[#This Row],[population_rec]]*100</f>
        <v>3.0144101527312922E-2</v>
      </c>
      <c r="H14" s="4">
        <f>geo_data[[#This Row],[n]]/SUMIF(geo_data[year],geo_data[[#This Row],[year]],geo_data[n])*100</f>
        <v>0.2191298003683847</v>
      </c>
    </row>
    <row r="15" spans="1:10">
      <c r="A15" s="8" t="s">
        <v>12</v>
      </c>
      <c r="B15" s="2">
        <v>2022</v>
      </c>
      <c r="C15" s="3">
        <v>1831</v>
      </c>
      <c r="D15" s="2">
        <v>2793592</v>
      </c>
      <c r="E15" s="2">
        <v>18068.099999999999</v>
      </c>
      <c r="F15" s="4">
        <f>geo_data[[#This Row],[gdp_value_rec]]/geo_data[[#This Row],[population_rec]]*100</f>
        <v>0.64676946383007961</v>
      </c>
      <c r="G15" s="4">
        <f>geo_data[[#This Row],[n]]/geo_data[[#This Row],[population_rec]]*100</f>
        <v>6.5542856651937723E-2</v>
      </c>
      <c r="H15" s="4">
        <f>geo_data[[#This Row],[n]]/SUMIF(geo_data[year],geo_data[[#This Row],[year]],geo_data[n])*100</f>
        <v>0.26007709986335653</v>
      </c>
    </row>
    <row r="16" spans="1:10">
      <c r="A16" s="8" t="s">
        <v>13</v>
      </c>
      <c r="B16" s="2">
        <v>2014</v>
      </c>
      <c r="C16" s="3">
        <v>5593</v>
      </c>
      <c r="D16" s="2">
        <v>8507786</v>
      </c>
      <c r="E16" s="2">
        <v>330113.5</v>
      </c>
      <c r="F16" s="4">
        <f>geo_data[[#This Row],[gdp_value_rec]]/geo_data[[#This Row],[population_rec]]*100</f>
        <v>3.8801340325203291</v>
      </c>
      <c r="G16" s="4">
        <f>geo_data[[#This Row],[n]]/geo_data[[#This Row],[population_rec]]*100</f>
        <v>6.5739782359358831E-2</v>
      </c>
      <c r="H16" s="4">
        <f>geo_data[[#This Row],[n]]/SUMIF(geo_data[year],geo_data[[#This Row],[year]],geo_data[n])*100</f>
        <v>2.7780261262603685</v>
      </c>
    </row>
    <row r="17" spans="1:8">
      <c r="A17" s="8" t="s">
        <v>13</v>
      </c>
      <c r="B17" s="2">
        <v>2015</v>
      </c>
      <c r="C17" s="3">
        <v>10931</v>
      </c>
      <c r="D17" s="2">
        <v>8584926</v>
      </c>
      <c r="E17" s="2">
        <v>342083.5</v>
      </c>
      <c r="F17" s="4">
        <f>geo_data[[#This Row],[gdp_value_rec]]/geo_data[[#This Row],[population_rec]]*100</f>
        <v>3.9846994604263331</v>
      </c>
      <c r="G17" s="4">
        <f>geo_data[[#This Row],[n]]/geo_data[[#This Row],[population_rec]]*100</f>
        <v>0.12732783019911878</v>
      </c>
      <c r="H17" s="4">
        <f>geo_data[[#This Row],[n]]/SUMIF(geo_data[year],geo_data[[#This Row],[year]],geo_data[n])*100</f>
        <v>2.3883290654687515</v>
      </c>
    </row>
    <row r="18" spans="1:8">
      <c r="A18" s="8" t="s">
        <v>13</v>
      </c>
      <c r="B18" s="2">
        <v>2016</v>
      </c>
      <c r="C18" s="3">
        <v>11395</v>
      </c>
      <c r="D18" s="2">
        <v>8700471</v>
      </c>
      <c r="E18" s="2">
        <v>355665.6</v>
      </c>
      <c r="F18" s="4">
        <f>geo_data[[#This Row],[gdp_value_rec]]/geo_data[[#This Row],[population_rec]]*100</f>
        <v>4.0878890349729335</v>
      </c>
      <c r="G18" s="4">
        <f>geo_data[[#This Row],[n]]/geo_data[[#This Row],[population_rec]]*100</f>
        <v>0.13096992105369926</v>
      </c>
      <c r="H18" s="4">
        <f>geo_data[[#This Row],[n]]/SUMIF(geo_data[year],geo_data[[#This Row],[year]],geo_data[n])*100</f>
        <v>2.2701012032831298</v>
      </c>
    </row>
    <row r="19" spans="1:8">
      <c r="A19" s="8" t="s">
        <v>13</v>
      </c>
      <c r="B19" s="2">
        <v>2017</v>
      </c>
      <c r="C19" s="3">
        <v>11796</v>
      </c>
      <c r="D19" s="2">
        <v>8772865</v>
      </c>
      <c r="E19" s="2">
        <v>367294.9</v>
      </c>
      <c r="F19" s="4">
        <f>geo_data[[#This Row],[gdp_value_rec]]/geo_data[[#This Row],[population_rec]]*100</f>
        <v>4.1867155142590251</v>
      </c>
      <c r="G19" s="4">
        <f>geo_data[[#This Row],[n]]/geo_data[[#This Row],[population_rec]]*100</f>
        <v>0.13446006521244772</v>
      </c>
      <c r="H19" s="4">
        <f>geo_data[[#This Row],[n]]/SUMIF(geo_data[year],geo_data[[#This Row],[year]],geo_data[n])*100</f>
        <v>2.2082113413255255</v>
      </c>
    </row>
    <row r="20" spans="1:8">
      <c r="A20" s="8" t="s">
        <v>13</v>
      </c>
      <c r="B20" s="2">
        <v>2018</v>
      </c>
      <c r="C20" s="3">
        <v>12692</v>
      </c>
      <c r="D20" s="2">
        <v>8822267</v>
      </c>
      <c r="E20" s="2">
        <v>383234.3</v>
      </c>
      <c r="F20" s="4">
        <f>geo_data[[#This Row],[gdp_value_rec]]/geo_data[[#This Row],[population_rec]]*100</f>
        <v>4.3439435691529171</v>
      </c>
      <c r="G20" s="4">
        <f>geo_data[[#This Row],[n]]/geo_data[[#This Row],[population_rec]]*100</f>
        <v>0.1438632496613399</v>
      </c>
      <c r="H20" s="4">
        <f>geo_data[[#This Row],[n]]/SUMIF(geo_data[year],geo_data[[#This Row],[year]],geo_data[n])*100</f>
        <v>2.1975053846846411</v>
      </c>
    </row>
    <row r="21" spans="1:8">
      <c r="A21" s="8" t="s">
        <v>13</v>
      </c>
      <c r="B21" s="2">
        <v>2019</v>
      </c>
      <c r="C21" s="3">
        <v>13283</v>
      </c>
      <c r="D21" s="2">
        <v>8858775</v>
      </c>
      <c r="E21" s="2">
        <v>395706.8</v>
      </c>
      <c r="F21" s="4">
        <f>geo_data[[#This Row],[gdp_value_rec]]/geo_data[[#This Row],[population_rec]]*100</f>
        <v>4.4668342970670318</v>
      </c>
      <c r="G21" s="4">
        <f>geo_data[[#This Row],[n]]/geo_data[[#This Row],[population_rec]]*100</f>
        <v>0.14994172444835771</v>
      </c>
      <c r="H21" s="4">
        <f>geo_data[[#This Row],[n]]/SUMIF(geo_data[year],geo_data[[#This Row],[year]],geo_data[n])*100</f>
        <v>2.1466468642277774</v>
      </c>
    </row>
    <row r="22" spans="1:8">
      <c r="A22" s="8" t="s">
        <v>13</v>
      </c>
      <c r="B22" s="2">
        <v>2020</v>
      </c>
      <c r="C22" s="3">
        <v>5874</v>
      </c>
      <c r="D22" s="2">
        <v>8901064</v>
      </c>
      <c r="E22" s="2">
        <v>380317.9</v>
      </c>
      <c r="F22" s="4">
        <f>geo_data[[#This Row],[gdp_value_rec]]/geo_data[[#This Row],[population_rec]]*100</f>
        <v>4.2727240249030904</v>
      </c>
      <c r="G22" s="4">
        <f>geo_data[[#This Row],[n]]/geo_data[[#This Row],[population_rec]]*100</f>
        <v>6.5992110606102813E-2</v>
      </c>
      <c r="H22" s="4">
        <f>geo_data[[#This Row],[n]]/SUMIF(geo_data[year],geo_data[[#This Row],[year]],geo_data[n])*100</f>
        <v>2.5222749425682203</v>
      </c>
    </row>
    <row r="23" spans="1:8">
      <c r="A23" s="8" t="s">
        <v>13</v>
      </c>
      <c r="B23" s="2">
        <v>2021</v>
      </c>
      <c r="C23" s="3">
        <v>7629</v>
      </c>
      <c r="D23" s="2">
        <v>8932664</v>
      </c>
      <c r="E23" s="2">
        <v>406231.5</v>
      </c>
      <c r="F23" s="4">
        <f>geo_data[[#This Row],[gdp_value_rec]]/geo_data[[#This Row],[population_rec]]*100</f>
        <v>4.5477082760529228</v>
      </c>
      <c r="G23" s="4">
        <f>geo_data[[#This Row],[n]]/geo_data[[#This Row],[population_rec]]*100</f>
        <v>8.5405652781745736E-2</v>
      </c>
      <c r="H23" s="4">
        <f>geo_data[[#This Row],[n]]/SUMIF(geo_data[year],geo_data[[#This Row],[year]],geo_data[n])*100</f>
        <v>1.9598373352994216</v>
      </c>
    </row>
    <row r="24" spans="1:8">
      <c r="A24" s="8" t="s">
        <v>13</v>
      </c>
      <c r="B24" s="2">
        <v>2022</v>
      </c>
      <c r="C24" s="3">
        <v>14861</v>
      </c>
      <c r="D24" s="2">
        <v>8978929</v>
      </c>
      <c r="E24" s="2">
        <v>449382.2</v>
      </c>
      <c r="F24" s="4">
        <f>geo_data[[#This Row],[gdp_value_rec]]/geo_data[[#This Row],[population_rec]]*100</f>
        <v>5.0048530286852699</v>
      </c>
      <c r="G24" s="4">
        <f>geo_data[[#This Row],[n]]/geo_data[[#This Row],[population_rec]]*100</f>
        <v>0.16550971725024219</v>
      </c>
      <c r="H24" s="4">
        <f>geo_data[[#This Row],[n]]/SUMIF(geo_data[year],geo_data[[#This Row],[year]],geo_data[n])*100</f>
        <v>2.1108715352645229</v>
      </c>
    </row>
    <row r="25" spans="1:8">
      <c r="A25" s="8" t="s">
        <v>14</v>
      </c>
      <c r="B25" s="2">
        <v>2014</v>
      </c>
      <c r="C25" s="3">
        <v>5495</v>
      </c>
      <c r="D25" s="2">
        <v>11180840</v>
      </c>
      <c r="E25" s="2">
        <v>404958.3</v>
      </c>
      <c r="F25" s="4">
        <f>geo_data[[#This Row],[gdp_value_rec]]/geo_data[[#This Row],[population_rec]]*100</f>
        <v>3.6218951348914752</v>
      </c>
      <c r="G25" s="4">
        <f>geo_data[[#This Row],[n]]/geo_data[[#This Row],[population_rec]]*100</f>
        <v>4.9146575749228143E-2</v>
      </c>
      <c r="H25" s="4">
        <f>geo_data[[#This Row],[n]]/SUMIF(geo_data[year],geo_data[[#This Row],[year]],geo_data[n])*100</f>
        <v>2.7293498236725773</v>
      </c>
    </row>
    <row r="26" spans="1:8">
      <c r="A26" s="8" t="s">
        <v>14</v>
      </c>
      <c r="B26" s="2">
        <v>2015</v>
      </c>
      <c r="C26" s="3">
        <v>12579</v>
      </c>
      <c r="D26" s="2">
        <v>11237274</v>
      </c>
      <c r="E26" s="2">
        <v>415538</v>
      </c>
      <c r="F26" s="4">
        <f>geo_data[[#This Row],[gdp_value_rec]]/geo_data[[#This Row],[population_rec]]*100</f>
        <v>3.6978541236958358</v>
      </c>
      <c r="G26" s="4">
        <f>geo_data[[#This Row],[n]]/geo_data[[#This Row],[population_rec]]*100</f>
        <v>0.11193995981587704</v>
      </c>
      <c r="H26" s="4">
        <f>geo_data[[#This Row],[n]]/SUMIF(geo_data[year],geo_data[[#This Row],[year]],geo_data[n])*100</f>
        <v>2.7484028281521748</v>
      </c>
    </row>
    <row r="27" spans="1:8">
      <c r="A27" s="8" t="s">
        <v>14</v>
      </c>
      <c r="B27" s="2">
        <v>2016</v>
      </c>
      <c r="C27" s="3">
        <v>13910</v>
      </c>
      <c r="D27" s="2">
        <v>11311117</v>
      </c>
      <c r="E27" s="2">
        <v>428467.1</v>
      </c>
      <c r="F27" s="4">
        <f>geo_data[[#This Row],[gdp_value_rec]]/geo_data[[#This Row],[population_rec]]*100</f>
        <v>3.788017575982991</v>
      </c>
      <c r="G27" s="4">
        <f>geo_data[[#This Row],[n]]/geo_data[[#This Row],[population_rec]]*100</f>
        <v>0.12297636033647252</v>
      </c>
      <c r="H27" s="4">
        <f>geo_data[[#This Row],[n]]/SUMIF(geo_data[year],geo_data[[#This Row],[year]],geo_data[n])*100</f>
        <v>2.771137142401785</v>
      </c>
    </row>
    <row r="28" spans="1:8">
      <c r="A28" s="8" t="s">
        <v>14</v>
      </c>
      <c r="B28" s="2">
        <v>2017</v>
      </c>
      <c r="C28" s="3">
        <v>14423</v>
      </c>
      <c r="D28" s="2">
        <v>11351727</v>
      </c>
      <c r="E28" s="2">
        <v>443407.2</v>
      </c>
      <c r="F28" s="4">
        <f>geo_data[[#This Row],[gdp_value_rec]]/geo_data[[#This Row],[population_rec]]*100</f>
        <v>3.906077022465392</v>
      </c>
      <c r="G28" s="4">
        <f>geo_data[[#This Row],[n]]/geo_data[[#This Row],[population_rec]]*100</f>
        <v>0.12705555727335585</v>
      </c>
      <c r="H28" s="4">
        <f>geo_data[[#This Row],[n]]/SUMIF(geo_data[year],geo_data[[#This Row],[year]],geo_data[n])*100</f>
        <v>2.6999857727990895</v>
      </c>
    </row>
    <row r="29" spans="1:8">
      <c r="A29" s="8" t="s">
        <v>14</v>
      </c>
      <c r="B29" s="2">
        <v>2018</v>
      </c>
      <c r="C29" s="3">
        <v>15482</v>
      </c>
      <c r="D29" s="2">
        <v>11398589</v>
      </c>
      <c r="E29" s="2">
        <v>459491.8</v>
      </c>
      <c r="F29" s="4">
        <f>geo_data[[#This Row],[gdp_value_rec]]/geo_data[[#This Row],[population_rec]]*100</f>
        <v>4.0311287651480372</v>
      </c>
      <c r="G29" s="4">
        <f>geo_data[[#This Row],[n]]/geo_data[[#This Row],[population_rec]]*100</f>
        <v>0.13582382872125665</v>
      </c>
      <c r="H29" s="4">
        <f>geo_data[[#This Row],[n]]/SUMIF(geo_data[year],geo_data[[#This Row],[year]],geo_data[n])*100</f>
        <v>2.6805687335083213</v>
      </c>
    </row>
    <row r="30" spans="1:8">
      <c r="A30" s="8" t="s">
        <v>14</v>
      </c>
      <c r="B30" s="2">
        <v>2019</v>
      </c>
      <c r="C30" s="3">
        <v>16370</v>
      </c>
      <c r="D30" s="2">
        <v>11455519</v>
      </c>
      <c r="E30" s="2">
        <v>479444.9</v>
      </c>
      <c r="F30" s="4">
        <f>geo_data[[#This Row],[gdp_value_rec]]/geo_data[[#This Row],[population_rec]]*100</f>
        <v>4.1852743642605805</v>
      </c>
      <c r="G30" s="4">
        <f>geo_data[[#This Row],[n]]/geo_data[[#This Row],[population_rec]]*100</f>
        <v>0.14290055299982482</v>
      </c>
      <c r="H30" s="4">
        <f>geo_data[[#This Row],[n]]/SUMIF(geo_data[year],geo_data[[#This Row],[year]],geo_data[n])*100</f>
        <v>2.6455325730187997</v>
      </c>
    </row>
    <row r="31" spans="1:8">
      <c r="A31" s="8" t="s">
        <v>14</v>
      </c>
      <c r="B31" s="2">
        <v>2020</v>
      </c>
      <c r="C31" s="3">
        <v>8103</v>
      </c>
      <c r="D31" s="2">
        <v>11522440</v>
      </c>
      <c r="E31" s="2">
        <v>463750.9</v>
      </c>
      <c r="F31" s="4">
        <f>geo_data[[#This Row],[gdp_value_rec]]/geo_data[[#This Row],[population_rec]]*100</f>
        <v>4.0247629842290351</v>
      </c>
      <c r="G31" s="4">
        <f>geo_data[[#This Row],[n]]/geo_data[[#This Row],[population_rec]]*100</f>
        <v>7.0323646727602829E-2</v>
      </c>
      <c r="H31" s="4">
        <f>geo_data[[#This Row],[n]]/SUMIF(geo_data[year],geo_data[[#This Row],[year]],geo_data[n])*100</f>
        <v>3.4793997037164264</v>
      </c>
    </row>
    <row r="32" spans="1:8">
      <c r="A32" s="8" t="s">
        <v>14</v>
      </c>
      <c r="B32" s="2">
        <v>2021</v>
      </c>
      <c r="C32" s="3">
        <v>10996</v>
      </c>
      <c r="D32" s="2">
        <v>11554767</v>
      </c>
      <c r="E32" s="2">
        <v>506047.2</v>
      </c>
      <c r="F32" s="4">
        <f>geo_data[[#This Row],[gdp_value_rec]]/geo_data[[#This Row],[population_rec]]*100</f>
        <v>4.3795534777983844</v>
      </c>
      <c r="G32" s="4">
        <f>geo_data[[#This Row],[n]]/geo_data[[#This Row],[population_rec]]*100</f>
        <v>9.516418634837033E-2</v>
      </c>
      <c r="H32" s="4">
        <f>geo_data[[#This Row],[n]]/SUMIF(geo_data[year],geo_data[[#This Row],[year]],geo_data[n])*100</f>
        <v>2.8247963480079226</v>
      </c>
    </row>
    <row r="33" spans="1:8">
      <c r="A33" s="8" t="s">
        <v>14</v>
      </c>
      <c r="B33" s="2">
        <v>2022</v>
      </c>
      <c r="C33" s="3">
        <v>20112</v>
      </c>
      <c r="D33" s="2">
        <v>11617623</v>
      </c>
      <c r="E33" s="2">
        <v>561678.19999999995</v>
      </c>
      <c r="F33" s="4">
        <f>geo_data[[#This Row],[gdp_value_rec]]/geo_data[[#This Row],[population_rec]]*100</f>
        <v>4.8347084425101414</v>
      </c>
      <c r="G33" s="4">
        <f>geo_data[[#This Row],[n]]/geo_data[[#This Row],[population_rec]]*100</f>
        <v>0.1731163078712401</v>
      </c>
      <c r="H33" s="4">
        <f>geo_data[[#This Row],[n]]/SUMIF(geo_data[year],geo_data[[#This Row],[year]],geo_data[n])*100</f>
        <v>2.8567289090397745</v>
      </c>
    </row>
    <row r="34" spans="1:8">
      <c r="A34" s="8" t="s">
        <v>15</v>
      </c>
      <c r="B34" s="2">
        <v>2014</v>
      </c>
      <c r="C34" s="3">
        <v>2000</v>
      </c>
      <c r="D34" s="2">
        <v>7117453</v>
      </c>
      <c r="E34" s="2">
        <v>43024</v>
      </c>
      <c r="F34" s="4">
        <f>geo_data[[#This Row],[gdp_value_rec]]/geo_data[[#This Row],[population_rec]]*100</f>
        <v>0.60448590247101031</v>
      </c>
      <c r="G34" s="4">
        <f>geo_data[[#This Row],[n]]/geo_data[[#This Row],[population_rec]]*100</f>
        <v>2.8099939683479472E-2</v>
      </c>
      <c r="H34" s="4">
        <f>geo_data[[#This Row],[n]]/SUMIF(geo_data[year],geo_data[[#This Row],[year]],geo_data[n])*100</f>
        <v>0.99339393036308543</v>
      </c>
    </row>
    <row r="35" spans="1:8">
      <c r="A35" s="8" t="s">
        <v>15</v>
      </c>
      <c r="B35" s="2">
        <v>2015</v>
      </c>
      <c r="C35" s="3">
        <v>6899</v>
      </c>
      <c r="D35" s="2">
        <v>7029690</v>
      </c>
      <c r="E35" s="2">
        <v>45797.1</v>
      </c>
      <c r="F35" s="4">
        <f>geo_data[[#This Row],[gdp_value_rec]]/geo_data[[#This Row],[population_rec]]*100</f>
        <v>0.65148107526789945</v>
      </c>
      <c r="G35" s="4">
        <f>geo_data[[#This Row],[n]]/geo_data[[#This Row],[population_rec]]*100</f>
        <v>9.814088530219682E-2</v>
      </c>
      <c r="H35" s="4">
        <f>geo_data[[#This Row],[n]]/SUMIF(geo_data[year],geo_data[[#This Row],[year]],geo_data[n])*100</f>
        <v>1.5073718985151328</v>
      </c>
    </row>
    <row r="36" spans="1:8">
      <c r="A36" s="8" t="s">
        <v>15</v>
      </c>
      <c r="B36" s="2">
        <v>2016</v>
      </c>
      <c r="C36" s="3">
        <v>7135</v>
      </c>
      <c r="D36" s="2">
        <v>6938759</v>
      </c>
      <c r="E36" s="2">
        <v>48751.4</v>
      </c>
      <c r="F36" s="4">
        <f>geo_data[[#This Row],[gdp_value_rec]]/geo_data[[#This Row],[population_rec]]*100</f>
        <v>0.70259537764606039</v>
      </c>
      <c r="G36" s="4">
        <f>geo_data[[#This Row],[n]]/geo_data[[#This Row],[population_rec]]*100</f>
        <v>0.10282818584706574</v>
      </c>
      <c r="H36" s="4">
        <f>geo_data[[#This Row],[n]]/SUMIF(geo_data[year],geo_data[[#This Row],[year]],geo_data[n])*100</f>
        <v>1.4214280022312535</v>
      </c>
    </row>
    <row r="37" spans="1:8">
      <c r="A37" s="8" t="s">
        <v>15</v>
      </c>
      <c r="B37" s="2">
        <v>2017</v>
      </c>
      <c r="C37" s="3">
        <v>7928</v>
      </c>
      <c r="D37" s="2">
        <v>6849518</v>
      </c>
      <c r="E37" s="2">
        <v>52501</v>
      </c>
      <c r="F37" s="4">
        <f>geo_data[[#This Row],[gdp_value_rec]]/geo_data[[#This Row],[population_rec]]*100</f>
        <v>0.76649189037827181</v>
      </c>
      <c r="G37" s="4">
        <f>geo_data[[#This Row],[n]]/geo_data[[#This Row],[population_rec]]*100</f>
        <v>0.11574537069615701</v>
      </c>
      <c r="H37" s="4">
        <f>geo_data[[#This Row],[n]]/SUMIF(geo_data[year],geo_data[[#This Row],[year]],geo_data[n])*100</f>
        <v>1.4841216949837885</v>
      </c>
    </row>
    <row r="38" spans="1:8">
      <c r="A38" s="8" t="s">
        <v>15</v>
      </c>
      <c r="B38" s="2">
        <v>2018</v>
      </c>
      <c r="C38" s="3">
        <v>9203</v>
      </c>
      <c r="D38" s="2">
        <v>6757418</v>
      </c>
      <c r="E38" s="2">
        <v>55999.7</v>
      </c>
      <c r="F38" s="4">
        <f>geo_data[[#This Row],[gdp_value_rec]]/geo_data[[#This Row],[population_rec]]*100</f>
        <v>0.82871445868821481</v>
      </c>
      <c r="G38" s="4">
        <f>geo_data[[#This Row],[n]]/geo_data[[#This Row],[population_rec]]*100</f>
        <v>0.13619107179694967</v>
      </c>
      <c r="H38" s="4">
        <f>geo_data[[#This Row],[n]]/SUMIF(geo_data[year],geo_data[[#This Row],[year]],geo_data[n])*100</f>
        <v>1.5934164871771788</v>
      </c>
    </row>
    <row r="39" spans="1:8">
      <c r="A39" s="8" t="s">
        <v>15</v>
      </c>
      <c r="B39" s="2">
        <v>2019</v>
      </c>
      <c r="C39" s="3">
        <v>9750</v>
      </c>
      <c r="D39" s="2">
        <v>6664177</v>
      </c>
      <c r="E39" s="2">
        <v>61194.400000000001</v>
      </c>
      <c r="F39" s="4">
        <f>geo_data[[#This Row],[gdp_value_rec]]/geo_data[[#This Row],[population_rec]]*100</f>
        <v>0.91825892379509122</v>
      </c>
      <c r="G39" s="4">
        <f>geo_data[[#This Row],[n]]/geo_data[[#This Row],[population_rec]]*100</f>
        <v>0.14630463746686201</v>
      </c>
      <c r="H39" s="4">
        <f>geo_data[[#This Row],[n]]/SUMIF(geo_data[year],geo_data[[#This Row],[year]],geo_data[n])*100</f>
        <v>1.5756837255304399</v>
      </c>
    </row>
    <row r="40" spans="1:8">
      <c r="A40" s="8" t="s">
        <v>15</v>
      </c>
      <c r="B40" s="2">
        <v>2020</v>
      </c>
      <c r="C40" s="3">
        <v>3264</v>
      </c>
      <c r="D40" s="2">
        <v>6569275</v>
      </c>
      <c r="E40" s="2">
        <v>61855.6</v>
      </c>
      <c r="F40" s="4">
        <f>geo_data[[#This Row],[gdp_value_rec]]/geo_data[[#This Row],[population_rec]]*100</f>
        <v>0.94158944480174744</v>
      </c>
      <c r="G40" s="4">
        <f>geo_data[[#This Row],[n]]/geo_data[[#This Row],[population_rec]]*100</f>
        <v>4.96858481339265E-2</v>
      </c>
      <c r="H40" s="4">
        <f>geo_data[[#This Row],[n]]/SUMIF(geo_data[year],geo_data[[#This Row],[year]],geo_data[n])*100</f>
        <v>1.4015501213045065</v>
      </c>
    </row>
    <row r="41" spans="1:8">
      <c r="A41" s="8" t="s">
        <v>15</v>
      </c>
      <c r="B41" s="2">
        <v>2021</v>
      </c>
      <c r="C41" s="3">
        <v>7285</v>
      </c>
      <c r="D41" s="2">
        <v>6532117</v>
      </c>
      <c r="E41" s="2">
        <v>71343.899999999994</v>
      </c>
      <c r="F41" s="4">
        <f>geo_data[[#This Row],[gdp_value_rec]]/geo_data[[#This Row],[population_rec]]*100</f>
        <v>1.0922018083876941</v>
      </c>
      <c r="G41" s="4">
        <f>geo_data[[#This Row],[n]]/geo_data[[#This Row],[population_rec]]*100</f>
        <v>0.11152586519806672</v>
      </c>
      <c r="H41" s="4">
        <f>geo_data[[#This Row],[n]]/SUMIF(geo_data[year],geo_data[[#This Row],[year]],geo_data[n])*100</f>
        <v>1.8714661145177989</v>
      </c>
    </row>
    <row r="42" spans="1:8">
      <c r="A42" s="8" t="s">
        <v>15</v>
      </c>
      <c r="B42" s="2">
        <v>2022</v>
      </c>
      <c r="C42" s="3">
        <v>11168</v>
      </c>
      <c r="D42" s="2">
        <v>6482484</v>
      </c>
      <c r="E42" s="2">
        <v>86078.2</v>
      </c>
      <c r="F42" s="4">
        <f>geo_data[[#This Row],[gdp_value_rec]]/geo_data[[#This Row],[population_rec]]*100</f>
        <v>1.3278582716131655</v>
      </c>
      <c r="G42" s="4">
        <f>geo_data[[#This Row],[n]]/geo_data[[#This Row],[population_rec]]*100</f>
        <v>0.17227963848426003</v>
      </c>
      <c r="H42" s="4">
        <f>geo_data[[#This Row],[n]]/SUMIF(geo_data[year],geo_data[[#This Row],[year]],geo_data[n])*100</f>
        <v>1.5863140640491349</v>
      </c>
    </row>
    <row r="43" spans="1:8">
      <c r="A43" s="8" t="s">
        <v>16</v>
      </c>
      <c r="B43" s="2">
        <v>2018</v>
      </c>
      <c r="C43" s="3">
        <v>1</v>
      </c>
      <c r="D43" s="2">
        <v>8484130</v>
      </c>
      <c r="E43" s="2">
        <v>627171.6</v>
      </c>
      <c r="F43" s="4">
        <f>geo_data[[#This Row],[gdp_value_rec]]/geo_data[[#This Row],[population_rec]]*100</f>
        <v>7.3922912543772892</v>
      </c>
      <c r="G43" s="4">
        <f>geo_data[[#This Row],[n]]/geo_data[[#This Row],[population_rec]]*100</f>
        <v>1.1786712367679421E-5</v>
      </c>
      <c r="H43" s="4">
        <f>geo_data[[#This Row],[n]]/SUMIF(geo_data[year],geo_data[[#This Row],[year]],geo_data[n])*100</f>
        <v>1.731409852414624E-4</v>
      </c>
    </row>
    <row r="44" spans="1:8">
      <c r="A44" s="8" t="s">
        <v>16</v>
      </c>
      <c r="B44" s="2">
        <v>2022</v>
      </c>
      <c r="C44" s="3">
        <v>2</v>
      </c>
      <c r="D44" s="2">
        <v>8738791</v>
      </c>
      <c r="E44" s="2">
        <v>815869.1</v>
      </c>
      <c r="F44" s="4">
        <f>geo_data[[#This Row],[gdp_value_rec]]/geo_data[[#This Row],[population_rec]]*100</f>
        <v>9.3361781967322486</v>
      </c>
      <c r="G44" s="4">
        <f>geo_data[[#This Row],[n]]/geo_data[[#This Row],[population_rec]]*100</f>
        <v>2.288646106766943E-5</v>
      </c>
      <c r="H44" s="4">
        <f>geo_data[[#This Row],[n]]/SUMIF(geo_data[year],geo_data[[#This Row],[year]],geo_data[n])*100</f>
        <v>2.8408203152742386E-4</v>
      </c>
    </row>
    <row r="45" spans="1:8">
      <c r="A45" s="8" t="s">
        <v>17</v>
      </c>
      <c r="B45" s="2">
        <v>2014</v>
      </c>
      <c r="C45" s="3">
        <v>535</v>
      </c>
      <c r="D45" s="2">
        <v>860032</v>
      </c>
      <c r="E45" s="2">
        <v>17482.8</v>
      </c>
      <c r="F45" s="4">
        <f>geo_data[[#This Row],[gdp_value_rec]]/geo_data[[#This Row],[population_rec]]*100</f>
        <v>2.0328080815597556</v>
      </c>
      <c r="G45" s="4">
        <f>geo_data[[#This Row],[n]]/geo_data[[#This Row],[population_rec]]*100</f>
        <v>6.2206987646971273E-2</v>
      </c>
      <c r="H45" s="4">
        <f>geo_data[[#This Row],[n]]/SUMIF(geo_data[year],geo_data[[#This Row],[year]],geo_data[n])*100</f>
        <v>0.26573287637212539</v>
      </c>
    </row>
    <row r="46" spans="1:8">
      <c r="A46" s="8" t="s">
        <v>17</v>
      </c>
      <c r="B46" s="2">
        <v>2015</v>
      </c>
      <c r="C46" s="3">
        <v>1188</v>
      </c>
      <c r="D46" s="2">
        <v>860846</v>
      </c>
      <c r="E46" s="2">
        <v>17944.2</v>
      </c>
      <c r="F46" s="4">
        <f>geo_data[[#This Row],[gdp_value_rec]]/geo_data[[#This Row],[population_rec]]*100</f>
        <v>2.0844843328539602</v>
      </c>
      <c r="G46" s="4">
        <f>geo_data[[#This Row],[n]]/geo_data[[#This Row],[population_rec]]*100</f>
        <v>0.13800377767916677</v>
      </c>
      <c r="H46" s="4">
        <f>geo_data[[#This Row],[n]]/SUMIF(geo_data[year],geo_data[[#This Row],[year]],geo_data[n])*100</f>
        <v>0.2595677366916912</v>
      </c>
    </row>
    <row r="47" spans="1:8">
      <c r="A47" s="8" t="s">
        <v>17</v>
      </c>
      <c r="B47" s="2">
        <v>2016</v>
      </c>
      <c r="C47" s="3">
        <v>1220</v>
      </c>
      <c r="D47" s="2">
        <v>863764</v>
      </c>
      <c r="E47" s="2">
        <v>19013.8</v>
      </c>
      <c r="F47" s="4">
        <f>geo_data[[#This Row],[gdp_value_rec]]/geo_data[[#This Row],[population_rec]]*100</f>
        <v>2.2012725698223123</v>
      </c>
      <c r="G47" s="4">
        <f>geo_data[[#This Row],[n]]/geo_data[[#This Row],[population_rec]]*100</f>
        <v>0.14124228377195625</v>
      </c>
      <c r="H47" s="4">
        <f>geo_data[[#This Row],[n]]/SUMIF(geo_data[year],geo_data[[#This Row],[year]],geo_data[n])*100</f>
        <v>0.24304725476133557</v>
      </c>
    </row>
    <row r="48" spans="1:8">
      <c r="A48" s="8" t="s">
        <v>17</v>
      </c>
      <c r="B48" s="2">
        <v>2017</v>
      </c>
      <c r="C48" s="3">
        <v>1555</v>
      </c>
      <c r="D48" s="2">
        <v>869878</v>
      </c>
      <c r="E48" s="2">
        <v>20312.400000000001</v>
      </c>
      <c r="F48" s="4">
        <f>geo_data[[#This Row],[gdp_value_rec]]/geo_data[[#This Row],[population_rec]]*100</f>
        <v>2.3350860695407865</v>
      </c>
      <c r="G48" s="4">
        <f>geo_data[[#This Row],[n]]/geo_data[[#This Row],[population_rec]]*100</f>
        <v>0.17876069977629047</v>
      </c>
      <c r="H48" s="4">
        <f>geo_data[[#This Row],[n]]/SUMIF(geo_data[year],geo_data[[#This Row],[year]],geo_data[n])*100</f>
        <v>0.29109601863014517</v>
      </c>
    </row>
    <row r="49" spans="1:8">
      <c r="A49" s="8" t="s">
        <v>17</v>
      </c>
      <c r="B49" s="2">
        <v>2018</v>
      </c>
      <c r="C49" s="3">
        <v>1504</v>
      </c>
      <c r="D49" s="2">
        <v>878601</v>
      </c>
      <c r="E49" s="2">
        <v>21807.8</v>
      </c>
      <c r="F49" s="4">
        <f>geo_data[[#This Row],[gdp_value_rec]]/geo_data[[#This Row],[population_rec]]*100</f>
        <v>2.4821050738617414</v>
      </c>
      <c r="G49" s="4">
        <f>geo_data[[#This Row],[n]]/geo_data[[#This Row],[population_rec]]*100</f>
        <v>0.1711812301602206</v>
      </c>
      <c r="H49" s="4">
        <f>geo_data[[#This Row],[n]]/SUMIF(geo_data[year],geo_data[[#This Row],[year]],geo_data[n])*100</f>
        <v>0.26040404180315946</v>
      </c>
    </row>
    <row r="50" spans="1:8">
      <c r="A50" s="8" t="s">
        <v>17</v>
      </c>
      <c r="B50" s="2">
        <v>2019</v>
      </c>
      <c r="C50" s="3">
        <v>1822</v>
      </c>
      <c r="D50" s="2">
        <v>890194</v>
      </c>
      <c r="E50" s="2">
        <v>23400.9</v>
      </c>
      <c r="F50" s="4">
        <f>geo_data[[#This Row],[gdp_value_rec]]/geo_data[[#This Row],[population_rec]]*100</f>
        <v>2.6287416001455863</v>
      </c>
      <c r="G50" s="4">
        <f>geo_data[[#This Row],[n]]/geo_data[[#This Row],[population_rec]]*100</f>
        <v>0.20467448668492488</v>
      </c>
      <c r="H50" s="4">
        <f>geo_data[[#This Row],[n]]/SUMIF(geo_data[year],geo_data[[#This Row],[year]],geo_data[n])*100</f>
        <v>0.29445084594014986</v>
      </c>
    </row>
    <row r="51" spans="1:8">
      <c r="A51" s="8" t="s">
        <v>17</v>
      </c>
      <c r="B51" s="2">
        <v>2020</v>
      </c>
      <c r="C51" s="3">
        <v>398</v>
      </c>
      <c r="D51" s="2">
        <v>902429</v>
      </c>
      <c r="E51" s="2">
        <v>22373.599999999999</v>
      </c>
      <c r="F51" s="4">
        <f>geo_data[[#This Row],[gdp_value_rec]]/geo_data[[#This Row],[population_rec]]*100</f>
        <v>2.4792642966925929</v>
      </c>
      <c r="G51" s="4">
        <f>geo_data[[#This Row],[n]]/geo_data[[#This Row],[population_rec]]*100</f>
        <v>4.410319260573408E-2</v>
      </c>
      <c r="H51" s="4">
        <f>geo_data[[#This Row],[n]]/SUMIF(geo_data[year],geo_data[[#This Row],[year]],geo_data[n])*100</f>
        <v>0.17089980033063529</v>
      </c>
    </row>
    <row r="52" spans="1:8">
      <c r="A52" s="8" t="s">
        <v>17</v>
      </c>
      <c r="B52" s="2">
        <v>2021</v>
      </c>
      <c r="C52" s="3">
        <v>843</v>
      </c>
      <c r="D52" s="2">
        <v>914476</v>
      </c>
      <c r="E52" s="2">
        <v>25679.9</v>
      </c>
      <c r="F52" s="4">
        <f>geo_data[[#This Row],[gdp_value_rec]]/geo_data[[#This Row],[population_rec]]*100</f>
        <v>2.8081546153206864</v>
      </c>
      <c r="G52" s="4">
        <f>geo_data[[#This Row],[n]]/geo_data[[#This Row],[population_rec]]*100</f>
        <v>9.2183939217650321E-2</v>
      </c>
      <c r="H52" s="4">
        <f>geo_data[[#This Row],[n]]/SUMIF(geo_data[year],geo_data[[#This Row],[year]],geo_data[n])*100</f>
        <v>0.21656086953170958</v>
      </c>
    </row>
    <row r="53" spans="1:8">
      <c r="A53" s="8" t="s">
        <v>17</v>
      </c>
      <c r="B53" s="2">
        <v>2022</v>
      </c>
      <c r="C53" s="3">
        <v>1915</v>
      </c>
      <c r="D53" s="2">
        <v>929764</v>
      </c>
      <c r="E53" s="2">
        <v>29645.4</v>
      </c>
      <c r="F53" s="4">
        <f>geo_data[[#This Row],[gdp_value_rec]]/geo_data[[#This Row],[population_rec]]*100</f>
        <v>3.1884865406705361</v>
      </c>
      <c r="G53" s="4">
        <f>geo_data[[#This Row],[n]]/geo_data[[#This Row],[population_rec]]*100</f>
        <v>0.20596624519770607</v>
      </c>
      <c r="H53" s="4">
        <f>geo_data[[#This Row],[n]]/SUMIF(geo_data[year],geo_data[[#This Row],[year]],geo_data[n])*100</f>
        <v>0.27200854518750833</v>
      </c>
    </row>
    <row r="54" spans="1:8">
      <c r="A54" s="8" t="s">
        <v>18</v>
      </c>
      <c r="B54" s="2">
        <v>2014</v>
      </c>
      <c r="C54" s="3">
        <v>6429</v>
      </c>
      <c r="D54" s="2">
        <v>10512419</v>
      </c>
      <c r="E54" s="2">
        <v>158991.5</v>
      </c>
      <c r="F54" s="4">
        <f>geo_data[[#This Row],[gdp_value_rec]]/geo_data[[#This Row],[population_rec]]*100</f>
        <v>1.5124159339539263</v>
      </c>
      <c r="G54" s="4">
        <f>geo_data[[#This Row],[n]]/geo_data[[#This Row],[population_rec]]*100</f>
        <v>6.115623815983743E-2</v>
      </c>
      <c r="H54" s="4">
        <f>geo_data[[#This Row],[n]]/SUMIF(geo_data[year],geo_data[[#This Row],[year]],geo_data[n])*100</f>
        <v>3.1932647891521384</v>
      </c>
    </row>
    <row r="55" spans="1:8">
      <c r="A55" s="8" t="s">
        <v>18</v>
      </c>
      <c r="B55" s="2">
        <v>2015</v>
      </c>
      <c r="C55" s="3">
        <v>15229</v>
      </c>
      <c r="D55" s="2">
        <v>10538275</v>
      </c>
      <c r="E55" s="2">
        <v>170527.3</v>
      </c>
      <c r="F55" s="4">
        <f>geo_data[[#This Row],[gdp_value_rec]]/geo_data[[#This Row],[population_rec]]*100</f>
        <v>1.6181709055798978</v>
      </c>
      <c r="G55" s="4">
        <f>geo_data[[#This Row],[n]]/geo_data[[#This Row],[population_rec]]*100</f>
        <v>0.1445113170798826</v>
      </c>
      <c r="H55" s="4">
        <f>geo_data[[#This Row],[n]]/SUMIF(geo_data[year],geo_data[[#This Row],[year]],geo_data[n])*100</f>
        <v>3.3274049344088938</v>
      </c>
    </row>
    <row r="56" spans="1:8">
      <c r="A56" s="8" t="s">
        <v>18</v>
      </c>
      <c r="B56" s="2">
        <v>2016</v>
      </c>
      <c r="C56" s="3">
        <v>14832</v>
      </c>
      <c r="D56" s="2">
        <v>10553843</v>
      </c>
      <c r="E56" s="2">
        <v>179145.9</v>
      </c>
      <c r="F56" s="4">
        <f>geo_data[[#This Row],[gdp_value_rec]]/geo_data[[#This Row],[population_rec]]*100</f>
        <v>1.6974470815986176</v>
      </c>
      <c r="G56" s="4">
        <f>geo_data[[#This Row],[n]]/geo_data[[#This Row],[population_rec]]*100</f>
        <v>0.14053648514574263</v>
      </c>
      <c r="H56" s="4">
        <f>geo_data[[#This Row],[n]]/SUMIF(geo_data[year],geo_data[[#This Row],[year]],geo_data[n])*100</f>
        <v>2.954817116901745</v>
      </c>
    </row>
    <row r="57" spans="1:8">
      <c r="A57" s="8" t="s">
        <v>18</v>
      </c>
      <c r="B57" s="2">
        <v>2017</v>
      </c>
      <c r="C57" s="3">
        <v>15156</v>
      </c>
      <c r="D57" s="2">
        <v>10578820</v>
      </c>
      <c r="E57" s="2">
        <v>196738.7</v>
      </c>
      <c r="F57" s="4">
        <f>geo_data[[#This Row],[gdp_value_rec]]/geo_data[[#This Row],[population_rec]]*100</f>
        <v>1.8597414456432759</v>
      </c>
      <c r="G57" s="4">
        <f>geo_data[[#This Row],[n]]/geo_data[[#This Row],[population_rec]]*100</f>
        <v>0.14326739655273463</v>
      </c>
      <c r="H57" s="4">
        <f>geo_data[[#This Row],[n]]/SUMIF(geo_data[year],geo_data[[#This Row],[year]],geo_data[n])*100</f>
        <v>2.8372033815810163</v>
      </c>
    </row>
    <row r="58" spans="1:8">
      <c r="A58" s="8" t="s">
        <v>18</v>
      </c>
      <c r="B58" s="2">
        <v>2018</v>
      </c>
      <c r="C58" s="3">
        <v>16100</v>
      </c>
      <c r="D58" s="2">
        <v>10610055</v>
      </c>
      <c r="E58" s="2">
        <v>213505.4</v>
      </c>
      <c r="F58" s="4">
        <f>geo_data[[#This Row],[gdp_value_rec]]/geo_data[[#This Row],[population_rec]]*100</f>
        <v>2.012293055973791</v>
      </c>
      <c r="G58" s="4">
        <f>geo_data[[#This Row],[n]]/geo_data[[#This Row],[population_rec]]*100</f>
        <v>0.15174285147437971</v>
      </c>
      <c r="H58" s="4">
        <f>geo_data[[#This Row],[n]]/SUMIF(geo_data[year],geo_data[[#This Row],[year]],geo_data[n])*100</f>
        <v>2.7875698623875449</v>
      </c>
    </row>
    <row r="59" spans="1:8">
      <c r="A59" s="8" t="s">
        <v>18</v>
      </c>
      <c r="B59" s="2">
        <v>2019</v>
      </c>
      <c r="C59" s="3">
        <v>17595</v>
      </c>
      <c r="D59" s="2">
        <v>10649800</v>
      </c>
      <c r="E59" s="2">
        <v>229406.7</v>
      </c>
      <c r="F59" s="4">
        <f>geo_data[[#This Row],[gdp_value_rec]]/geo_data[[#This Row],[population_rec]]*100</f>
        <v>2.1540939735957485</v>
      </c>
      <c r="G59" s="4">
        <f>geo_data[[#This Row],[n]]/geo_data[[#This Row],[population_rec]]*100</f>
        <v>0.16521437022291499</v>
      </c>
      <c r="H59" s="4">
        <f>geo_data[[#This Row],[n]]/SUMIF(geo_data[year],geo_data[[#This Row],[year]],geo_data[n])*100</f>
        <v>2.8435030923803164</v>
      </c>
    </row>
    <row r="60" spans="1:8">
      <c r="A60" s="8" t="s">
        <v>18</v>
      </c>
      <c r="B60" s="2">
        <v>2020</v>
      </c>
      <c r="C60" s="3">
        <v>6430</v>
      </c>
      <c r="D60" s="2">
        <v>10693939</v>
      </c>
      <c r="E60" s="2">
        <v>220310.6</v>
      </c>
      <c r="F60" s="4">
        <f>geo_data[[#This Row],[gdp_value_rec]]/geo_data[[#This Row],[population_rec]]*100</f>
        <v>2.0601445360778663</v>
      </c>
      <c r="G60" s="4">
        <f>geo_data[[#This Row],[n]]/geo_data[[#This Row],[population_rec]]*100</f>
        <v>6.0127517091690903E-2</v>
      </c>
      <c r="H60" s="4">
        <f>geo_data[[#This Row],[n]]/SUMIF(geo_data[year],geo_data[[#This Row],[year]],geo_data[n])*100</f>
        <v>2.7610193872512188</v>
      </c>
    </row>
    <row r="61" spans="1:8">
      <c r="A61" s="8" t="s">
        <v>18</v>
      </c>
      <c r="B61" s="2">
        <v>2021</v>
      </c>
      <c r="C61" s="3">
        <v>10835</v>
      </c>
      <c r="D61" s="2">
        <v>10494836</v>
      </c>
      <c r="E61" s="2">
        <v>246012.3</v>
      </c>
      <c r="F61" s="4">
        <f>geo_data[[#This Row],[gdp_value_rec]]/geo_data[[#This Row],[population_rec]]*100</f>
        <v>2.3441271497715634</v>
      </c>
      <c r="G61" s="4">
        <f>geo_data[[#This Row],[n]]/geo_data[[#This Row],[population_rec]]*100</f>
        <v>0.10324125122107672</v>
      </c>
      <c r="H61" s="4">
        <f>geo_data[[#This Row],[n]]/SUMIF(geo_data[year],geo_data[[#This Row],[year]],geo_data[n])*100</f>
        <v>2.7834365615374534</v>
      </c>
    </row>
    <row r="62" spans="1:8">
      <c r="A62" s="8" t="s">
        <v>18</v>
      </c>
      <c r="B62" s="2">
        <v>2022</v>
      </c>
      <c r="C62" s="3">
        <v>21754</v>
      </c>
      <c r="D62" s="2">
        <v>10516707</v>
      </c>
      <c r="E62" s="2">
        <v>286976.8</v>
      </c>
      <c r="F62" s="4">
        <f>geo_data[[#This Row],[gdp_value_rec]]/geo_data[[#This Row],[population_rec]]*100</f>
        <v>2.7287705172351</v>
      </c>
      <c r="G62" s="4">
        <f>geo_data[[#This Row],[n]]/geo_data[[#This Row],[population_rec]]*100</f>
        <v>0.20685182158255433</v>
      </c>
      <c r="H62" s="4">
        <f>geo_data[[#This Row],[n]]/SUMIF(geo_data[year],geo_data[[#This Row],[year]],geo_data[n])*100</f>
        <v>3.0899602569237894</v>
      </c>
    </row>
    <row r="63" spans="1:8">
      <c r="A63" s="8" t="s">
        <v>19</v>
      </c>
      <c r="B63" s="2">
        <v>2014</v>
      </c>
      <c r="C63" s="3">
        <v>29827</v>
      </c>
      <c r="D63" s="2">
        <v>80767463</v>
      </c>
      <c r="E63" s="2">
        <v>2984470</v>
      </c>
      <c r="F63" s="4">
        <f>geo_data[[#This Row],[gdp_value_rec]]/geo_data[[#This Row],[population_rec]]*100</f>
        <v>3.6951389695130081</v>
      </c>
      <c r="G63" s="4">
        <f>geo_data[[#This Row],[n]]/geo_data[[#This Row],[population_rec]]*100</f>
        <v>3.6929474929774629E-2</v>
      </c>
      <c r="H63" s="4">
        <f>geo_data[[#This Row],[n]]/SUMIF(geo_data[year],geo_data[[#This Row],[year]],geo_data[n])*100</f>
        <v>14.814980380469875</v>
      </c>
    </row>
    <row r="64" spans="1:8">
      <c r="A64" s="8" t="s">
        <v>19</v>
      </c>
      <c r="B64" s="2">
        <v>2015</v>
      </c>
      <c r="C64" s="3">
        <v>54860</v>
      </c>
      <c r="D64" s="2">
        <v>81197537</v>
      </c>
      <c r="E64" s="2">
        <v>3087030</v>
      </c>
      <c r="F64" s="4">
        <f>geo_data[[#This Row],[gdp_value_rec]]/geo_data[[#This Row],[population_rec]]*100</f>
        <v>3.8018764042066944</v>
      </c>
      <c r="G64" s="4">
        <f>geo_data[[#This Row],[n]]/geo_data[[#This Row],[population_rec]]*100</f>
        <v>6.7563625729189294E-2</v>
      </c>
      <c r="H64" s="4">
        <f>geo_data[[#This Row],[n]]/SUMIF(geo_data[year],geo_data[[#This Row],[year]],geo_data[n])*100</f>
        <v>11.986436056318334</v>
      </c>
    </row>
    <row r="65" spans="1:8">
      <c r="A65" s="8" t="s">
        <v>19</v>
      </c>
      <c r="B65" s="2">
        <v>2016</v>
      </c>
      <c r="C65" s="3">
        <v>62409</v>
      </c>
      <c r="D65" s="2">
        <v>82175684</v>
      </c>
      <c r="E65" s="2">
        <v>3195210</v>
      </c>
      <c r="F65" s="4">
        <f>geo_data[[#This Row],[gdp_value_rec]]/geo_data[[#This Row],[population_rec]]*100</f>
        <v>3.8882669963538117</v>
      </c>
      <c r="G65" s="4">
        <f>geo_data[[#This Row],[n]]/geo_data[[#This Row],[population_rec]]*100</f>
        <v>7.5945823584504635E-2</v>
      </c>
      <c r="H65" s="4">
        <f>geo_data[[#This Row],[n]]/SUMIF(geo_data[year],geo_data[[#This Row],[year]],geo_data[n])*100</f>
        <v>12.433062395409992</v>
      </c>
    </row>
    <row r="66" spans="1:8">
      <c r="A66" s="8" t="s">
        <v>19</v>
      </c>
      <c r="B66" s="2">
        <v>2017</v>
      </c>
      <c r="C66" s="3">
        <v>65067</v>
      </c>
      <c r="D66" s="2">
        <v>82521653</v>
      </c>
      <c r="E66" s="2">
        <v>3333110</v>
      </c>
      <c r="F66" s="4">
        <f>geo_data[[#This Row],[gdp_value_rec]]/geo_data[[#This Row],[population_rec]]*100</f>
        <v>4.0390732357239623</v>
      </c>
      <c r="G66" s="4">
        <f>geo_data[[#This Row],[n]]/geo_data[[#This Row],[population_rec]]*100</f>
        <v>7.8848396311208158E-2</v>
      </c>
      <c r="H66" s="4">
        <f>geo_data[[#This Row],[n]]/SUMIF(geo_data[year],geo_data[[#This Row],[year]],geo_data[n])*100</f>
        <v>12.180543179554764</v>
      </c>
    </row>
    <row r="67" spans="1:8">
      <c r="A67" s="8" t="s">
        <v>19</v>
      </c>
      <c r="B67" s="2">
        <v>2018</v>
      </c>
      <c r="C67" s="3">
        <v>69564</v>
      </c>
      <c r="D67" s="2">
        <v>82792351</v>
      </c>
      <c r="E67" s="2">
        <v>3434030</v>
      </c>
      <c r="F67" s="4">
        <f>geo_data[[#This Row],[gdp_value_rec]]/geo_data[[#This Row],[population_rec]]*100</f>
        <v>4.1477623941371107</v>
      </c>
      <c r="G67" s="4">
        <f>geo_data[[#This Row],[n]]/geo_data[[#This Row],[population_rec]]*100</f>
        <v>8.4022254664564366E-2</v>
      </c>
      <c r="H67" s="4">
        <f>geo_data[[#This Row],[n]]/SUMIF(geo_data[year],geo_data[[#This Row],[year]],geo_data[n])*100</f>
        <v>12.044379497337092</v>
      </c>
    </row>
    <row r="68" spans="1:8">
      <c r="A68" s="8" t="s">
        <v>19</v>
      </c>
      <c r="B68" s="2">
        <v>2019</v>
      </c>
      <c r="C68" s="3">
        <v>73427</v>
      </c>
      <c r="D68" s="2">
        <v>83019213</v>
      </c>
      <c r="E68" s="2">
        <v>3537280</v>
      </c>
      <c r="F68" s="4">
        <f>geo_data[[#This Row],[gdp_value_rec]]/geo_data[[#This Row],[population_rec]]*100</f>
        <v>4.2607968350651548</v>
      </c>
      <c r="G68" s="4">
        <f>geo_data[[#This Row],[n]]/geo_data[[#This Row],[population_rec]]*100</f>
        <v>8.8445791457936365E-2</v>
      </c>
      <c r="H68" s="4">
        <f>geo_data[[#This Row],[n]]/SUMIF(geo_data[year],geo_data[[#This Row],[year]],geo_data[n])*100</f>
        <v>11.866433734822932</v>
      </c>
    </row>
    <row r="69" spans="1:8">
      <c r="A69" s="8" t="s">
        <v>19</v>
      </c>
      <c r="B69" s="2">
        <v>2020</v>
      </c>
      <c r="C69" s="3">
        <v>32177</v>
      </c>
      <c r="D69" s="2">
        <v>83166711</v>
      </c>
      <c r="E69" s="2">
        <v>3450720</v>
      </c>
      <c r="F69" s="4">
        <f>geo_data[[#This Row],[gdp_value_rec]]/geo_data[[#This Row],[population_rec]]*100</f>
        <v>4.1491601128725648</v>
      </c>
      <c r="G69" s="4">
        <f>geo_data[[#This Row],[n]]/geo_data[[#This Row],[population_rec]]*100</f>
        <v>3.8689758934918085E-2</v>
      </c>
      <c r="H69" s="4">
        <f>geo_data[[#This Row],[n]]/SUMIF(geo_data[year],geo_data[[#This Row],[year]],geo_data[n])*100</f>
        <v>13.816690641303648</v>
      </c>
    </row>
    <row r="70" spans="1:8">
      <c r="A70" s="8" t="s">
        <v>19</v>
      </c>
      <c r="B70" s="2">
        <v>2021</v>
      </c>
      <c r="C70" s="3">
        <v>41460</v>
      </c>
      <c r="D70" s="2">
        <v>83155031</v>
      </c>
      <c r="E70" s="2">
        <v>3682340</v>
      </c>
      <c r="F70" s="4">
        <f>geo_data[[#This Row],[gdp_value_rec]]/geo_data[[#This Row],[population_rec]]*100</f>
        <v>4.4282828780377699</v>
      </c>
      <c r="G70" s="4">
        <f>geo_data[[#This Row],[n]]/geo_data[[#This Row],[population_rec]]*100</f>
        <v>4.9858679025686373E-2</v>
      </c>
      <c r="H70" s="4">
        <f>geo_data[[#This Row],[n]]/SUMIF(geo_data[year],geo_data[[#This Row],[year]],geo_data[n])*100</f>
        <v>10.6507872488549</v>
      </c>
    </row>
    <row r="71" spans="1:8">
      <c r="A71" s="8" t="s">
        <v>19</v>
      </c>
      <c r="B71" s="2">
        <v>2022</v>
      </c>
      <c r="C71" s="3">
        <v>78245</v>
      </c>
      <c r="D71" s="2">
        <v>83237124</v>
      </c>
      <c r="E71" s="2">
        <v>3989390</v>
      </c>
      <c r="F71" s="4">
        <f>geo_data[[#This Row],[gdp_value_rec]]/geo_data[[#This Row],[population_rec]]*100</f>
        <v>4.7928013466683446</v>
      </c>
      <c r="G71" s="4">
        <f>geo_data[[#This Row],[n]]/geo_data[[#This Row],[population_rec]]*100</f>
        <v>9.4002527045504367E-2</v>
      </c>
      <c r="H71" s="4">
        <f>geo_data[[#This Row],[n]]/SUMIF(geo_data[year],geo_data[[#This Row],[year]],geo_data[n])*100</f>
        <v>11.11399927843164</v>
      </c>
    </row>
    <row r="72" spans="1:8">
      <c r="A72" s="8" t="s">
        <v>20</v>
      </c>
      <c r="B72" s="2">
        <v>2014</v>
      </c>
      <c r="C72" s="3">
        <v>2725</v>
      </c>
      <c r="D72" s="2">
        <v>5627235</v>
      </c>
      <c r="E72" s="2">
        <v>265635.7</v>
      </c>
      <c r="F72" s="4">
        <f>geo_data[[#This Row],[gdp_value_rec]]/geo_data[[#This Row],[population_rec]]*100</f>
        <v>4.7205368178154998</v>
      </c>
      <c r="G72" s="4">
        <f>geo_data[[#This Row],[n]]/geo_data[[#This Row],[population_rec]]*100</f>
        <v>4.8425203496921664E-2</v>
      </c>
      <c r="H72" s="4">
        <f>geo_data[[#This Row],[n]]/SUMIF(geo_data[year],geo_data[[#This Row],[year]],geo_data[n])*100</f>
        <v>1.353499230119704</v>
      </c>
    </row>
    <row r="73" spans="1:8">
      <c r="A73" s="8" t="s">
        <v>20</v>
      </c>
      <c r="B73" s="2">
        <v>2015</v>
      </c>
      <c r="C73" s="3">
        <v>5804</v>
      </c>
      <c r="D73" s="2">
        <v>5659715</v>
      </c>
      <c r="E73" s="2">
        <v>272193</v>
      </c>
      <c r="F73" s="4">
        <f>geo_data[[#This Row],[gdp_value_rec]]/geo_data[[#This Row],[population_rec]]*100</f>
        <v>4.8093057689300611</v>
      </c>
      <c r="G73" s="4">
        <f>geo_data[[#This Row],[n]]/geo_data[[#This Row],[population_rec]]*100</f>
        <v>0.10254933331448669</v>
      </c>
      <c r="H73" s="4">
        <f>geo_data[[#This Row],[n]]/SUMIF(geo_data[year],geo_data[[#This Row],[year]],geo_data[n])*100</f>
        <v>1.2681238583826395</v>
      </c>
    </row>
    <row r="74" spans="1:8">
      <c r="A74" s="8" t="s">
        <v>20</v>
      </c>
      <c r="B74" s="2">
        <v>2016</v>
      </c>
      <c r="C74" s="3">
        <v>6073</v>
      </c>
      <c r="D74" s="2">
        <v>5707251</v>
      </c>
      <c r="E74" s="2">
        <v>282265.09999999998</v>
      </c>
      <c r="F74" s="4">
        <f>geo_data[[#This Row],[gdp_value_rec]]/geo_data[[#This Row],[population_rec]]*100</f>
        <v>4.945727811865992</v>
      </c>
      <c r="G74" s="4">
        <f>geo_data[[#This Row],[n]]/geo_data[[#This Row],[population_rec]]*100</f>
        <v>0.10640849684024761</v>
      </c>
      <c r="H74" s="4">
        <f>geo_data[[#This Row],[n]]/SUMIF(geo_data[year],geo_data[[#This Row],[year]],geo_data[n])*100</f>
        <v>1.2098573591521236</v>
      </c>
    </row>
    <row r="75" spans="1:8">
      <c r="A75" s="8" t="s">
        <v>20</v>
      </c>
      <c r="B75" s="2">
        <v>2017</v>
      </c>
      <c r="C75" s="3">
        <v>6909</v>
      </c>
      <c r="D75" s="2">
        <v>5748769</v>
      </c>
      <c r="E75" s="2">
        <v>294355</v>
      </c>
      <c r="F75" s="4">
        <f>geo_data[[#This Row],[gdp_value_rec]]/geo_data[[#This Row],[population_rec]]*100</f>
        <v>5.1203135836559097</v>
      </c>
      <c r="G75" s="4">
        <f>geo_data[[#This Row],[n]]/geo_data[[#This Row],[population_rec]]*100</f>
        <v>0.12018225119151596</v>
      </c>
      <c r="H75" s="4">
        <f>geo_data[[#This Row],[n]]/SUMIF(geo_data[year],geo_data[[#This Row],[year]],geo_data[n])*100</f>
        <v>1.2933648827753523</v>
      </c>
    </row>
    <row r="76" spans="1:8">
      <c r="A76" s="8" t="s">
        <v>20</v>
      </c>
      <c r="B76" s="2">
        <v>2018</v>
      </c>
      <c r="C76" s="3">
        <v>6906</v>
      </c>
      <c r="D76" s="2">
        <v>5781190</v>
      </c>
      <c r="E76" s="2">
        <v>301017.3</v>
      </c>
      <c r="F76" s="4">
        <f>geo_data[[#This Row],[gdp_value_rec]]/geo_data[[#This Row],[population_rec]]*100</f>
        <v>5.2068397682830003</v>
      </c>
      <c r="G76" s="4">
        <f>geo_data[[#This Row],[n]]/geo_data[[#This Row],[population_rec]]*100</f>
        <v>0.11945637489859354</v>
      </c>
      <c r="H76" s="4">
        <f>geo_data[[#This Row],[n]]/SUMIF(geo_data[year],geo_data[[#This Row],[year]],geo_data[n])*100</f>
        <v>1.1957116440775395</v>
      </c>
    </row>
    <row r="77" spans="1:8">
      <c r="A77" s="8" t="s">
        <v>20</v>
      </c>
      <c r="B77" s="2">
        <v>2019</v>
      </c>
      <c r="C77" s="3">
        <v>7128</v>
      </c>
      <c r="D77" s="2">
        <v>5806081</v>
      </c>
      <c r="E77" s="2">
        <v>308546.2</v>
      </c>
      <c r="F77" s="4">
        <f>geo_data[[#This Row],[gdp_value_rec]]/geo_data[[#This Row],[population_rec]]*100</f>
        <v>5.3141904151871113</v>
      </c>
      <c r="G77" s="4">
        <f>geo_data[[#This Row],[n]]/geo_data[[#This Row],[population_rec]]*100</f>
        <v>0.12276783599815436</v>
      </c>
      <c r="H77" s="4">
        <f>geo_data[[#This Row],[n]]/SUMIF(geo_data[year],geo_data[[#This Row],[year]],geo_data[n])*100</f>
        <v>1.1519460098031769</v>
      </c>
    </row>
    <row r="78" spans="1:8">
      <c r="A78" s="8" t="s">
        <v>20</v>
      </c>
      <c r="B78" s="2">
        <v>2020</v>
      </c>
      <c r="C78" s="3">
        <v>3489</v>
      </c>
      <c r="D78" s="2">
        <v>5822763</v>
      </c>
      <c r="E78" s="2">
        <v>312118.3</v>
      </c>
      <c r="F78" s="4">
        <f>geo_data[[#This Row],[gdp_value_rec]]/geo_data[[#This Row],[population_rec]]*100</f>
        <v>5.3603126213448835</v>
      </c>
      <c r="G78" s="4">
        <f>geo_data[[#This Row],[n]]/geo_data[[#This Row],[population_rec]]*100</f>
        <v>5.9920007048200309E-2</v>
      </c>
      <c r="H78" s="4">
        <f>geo_data[[#This Row],[n]]/SUMIF(geo_data[year],geo_data[[#This Row],[year]],geo_data[n])*100</f>
        <v>1.4981643300341372</v>
      </c>
    </row>
    <row r="79" spans="1:8">
      <c r="A79" s="8" t="s">
        <v>20</v>
      </c>
      <c r="B79" s="2">
        <v>2021</v>
      </c>
      <c r="C79" s="3">
        <v>4239</v>
      </c>
      <c r="D79" s="2">
        <v>5840045</v>
      </c>
      <c r="E79" s="2">
        <v>343318.6</v>
      </c>
      <c r="F79" s="4">
        <f>geo_data[[#This Row],[gdp_value_rec]]/geo_data[[#This Row],[population_rec]]*100</f>
        <v>5.8786978524994238</v>
      </c>
      <c r="G79" s="4">
        <f>geo_data[[#This Row],[n]]/geo_data[[#This Row],[population_rec]]*100</f>
        <v>7.258505713568987E-2</v>
      </c>
      <c r="H79" s="4">
        <f>geo_data[[#This Row],[n]]/SUMIF(geo_data[year],geo_data[[#This Row],[year]],geo_data[n])*100</f>
        <v>1.0889697816665682</v>
      </c>
    </row>
    <row r="80" spans="1:8">
      <c r="A80" s="8" t="s">
        <v>20</v>
      </c>
      <c r="B80" s="2">
        <v>2022</v>
      </c>
      <c r="C80" s="3">
        <v>4239</v>
      </c>
      <c r="D80" s="2">
        <v>5873420</v>
      </c>
      <c r="E80" s="2">
        <v>380567.4</v>
      </c>
      <c r="F80" s="4">
        <f>geo_data[[#This Row],[gdp_value_rec]]/geo_data[[#This Row],[population_rec]]*100</f>
        <v>6.4794855467512971</v>
      </c>
      <c r="G80" s="4">
        <f>geo_data[[#This Row],[n]]/geo_data[[#This Row],[population_rec]]*100</f>
        <v>7.2172601312352938E-2</v>
      </c>
      <c r="H80" s="4">
        <f>geo_data[[#This Row],[n]]/SUMIF(geo_data[year],geo_data[[#This Row],[year]],geo_data[n])*100</f>
        <v>0.60211186582237486</v>
      </c>
    </row>
    <row r="81" spans="1:8">
      <c r="A81" s="8" t="s">
        <v>21</v>
      </c>
      <c r="B81" s="2">
        <v>2014</v>
      </c>
      <c r="C81" s="3">
        <v>1250</v>
      </c>
      <c r="D81" s="2">
        <v>1315819</v>
      </c>
      <c r="E81" s="2">
        <v>20365.599999999999</v>
      </c>
      <c r="F81" s="4">
        <f>geo_data[[#This Row],[gdp_value_rec]]/geo_data[[#This Row],[population_rec]]*100</f>
        <v>1.5477508684705115</v>
      </c>
      <c r="G81" s="4">
        <f>geo_data[[#This Row],[n]]/geo_data[[#This Row],[population_rec]]*100</f>
        <v>9.4997868247836514E-2</v>
      </c>
      <c r="H81" s="4">
        <f>geo_data[[#This Row],[n]]/SUMIF(geo_data[year],geo_data[[#This Row],[year]],geo_data[n])*100</f>
        <v>0.62087120647692839</v>
      </c>
    </row>
    <row r="82" spans="1:8">
      <c r="A82" s="8" t="s">
        <v>21</v>
      </c>
      <c r="B82" s="2">
        <v>2015</v>
      </c>
      <c r="C82" s="3">
        <v>4091</v>
      </c>
      <c r="D82" s="2">
        <v>1314870</v>
      </c>
      <c r="E82" s="2">
        <v>21010.9</v>
      </c>
      <c r="F82" s="4">
        <f>geo_data[[#This Row],[gdp_value_rec]]/geo_data[[#This Row],[population_rec]]*100</f>
        <v>1.5979450439967451</v>
      </c>
      <c r="G82" s="4">
        <f>geo_data[[#This Row],[n]]/geo_data[[#This Row],[population_rec]]*100</f>
        <v>0.31113342003391969</v>
      </c>
      <c r="H82" s="4">
        <f>geo_data[[#This Row],[n]]/SUMIF(geo_data[year],geo_data[[#This Row],[year]],geo_data[n])*100</f>
        <v>0.89384815724386257</v>
      </c>
    </row>
    <row r="83" spans="1:8">
      <c r="A83" s="8" t="s">
        <v>21</v>
      </c>
      <c r="B83" s="2">
        <v>2016</v>
      </c>
      <c r="C83" s="3">
        <v>4109</v>
      </c>
      <c r="D83" s="2">
        <v>1315944</v>
      </c>
      <c r="E83" s="2">
        <v>22189</v>
      </c>
      <c r="F83" s="4">
        <f>geo_data[[#This Row],[gdp_value_rec]]/geo_data[[#This Row],[population_rec]]*100</f>
        <v>1.6861659766677</v>
      </c>
      <c r="G83" s="4">
        <f>geo_data[[#This Row],[n]]/geo_data[[#This Row],[population_rec]]*100</f>
        <v>0.31224732967360314</v>
      </c>
      <c r="H83" s="4">
        <f>geo_data[[#This Row],[n]]/SUMIF(geo_data[year],geo_data[[#This Row],[year]],geo_data[n])*100</f>
        <v>0.81859112279862933</v>
      </c>
    </row>
    <row r="84" spans="1:8">
      <c r="A84" s="8" t="s">
        <v>21</v>
      </c>
      <c r="B84" s="2">
        <v>2017</v>
      </c>
      <c r="C84" s="3">
        <v>4323</v>
      </c>
      <c r="D84" s="2">
        <v>1315635</v>
      </c>
      <c r="E84" s="2">
        <v>24316.1</v>
      </c>
      <c r="F84" s="4">
        <f>geo_data[[#This Row],[gdp_value_rec]]/geo_data[[#This Row],[population_rec]]*100</f>
        <v>1.8482405834444962</v>
      </c>
      <c r="G84" s="4">
        <f>geo_data[[#This Row],[n]]/geo_data[[#This Row],[population_rec]]*100</f>
        <v>0.32858657606402991</v>
      </c>
      <c r="H84" s="4">
        <f>geo_data[[#This Row],[n]]/SUMIF(geo_data[year],geo_data[[#This Row],[year]],geo_data[n])*100</f>
        <v>0.80926565179300169</v>
      </c>
    </row>
    <row r="85" spans="1:8">
      <c r="A85" s="8" t="s">
        <v>21</v>
      </c>
      <c r="B85" s="2">
        <v>2018</v>
      </c>
      <c r="C85" s="3">
        <v>4682</v>
      </c>
      <c r="D85" s="2">
        <v>1319133</v>
      </c>
      <c r="E85" s="2">
        <v>26438.5</v>
      </c>
      <c r="F85" s="4">
        <f>geo_data[[#This Row],[gdp_value_rec]]/geo_data[[#This Row],[population_rec]]*100</f>
        <v>2.0042330833964428</v>
      </c>
      <c r="G85" s="4">
        <f>geo_data[[#This Row],[n]]/geo_data[[#This Row],[population_rec]]*100</f>
        <v>0.35493009423613842</v>
      </c>
      <c r="H85" s="4">
        <f>geo_data[[#This Row],[n]]/SUMIF(geo_data[year],geo_data[[#This Row],[year]],geo_data[n])*100</f>
        <v>0.81064609290052692</v>
      </c>
    </row>
    <row r="86" spans="1:8">
      <c r="A86" s="8" t="s">
        <v>21</v>
      </c>
      <c r="B86" s="2">
        <v>2019</v>
      </c>
      <c r="C86" s="3">
        <v>5075</v>
      </c>
      <c r="D86" s="2">
        <v>1324820</v>
      </c>
      <c r="E86" s="2">
        <v>28472.1</v>
      </c>
      <c r="F86" s="4">
        <f>geo_data[[#This Row],[gdp_value_rec]]/geo_data[[#This Row],[population_rec]]*100</f>
        <v>2.1491296930903818</v>
      </c>
      <c r="G86" s="4">
        <f>geo_data[[#This Row],[n]]/geo_data[[#This Row],[population_rec]]*100</f>
        <v>0.38307090774595792</v>
      </c>
      <c r="H86" s="4">
        <f>geo_data[[#This Row],[n]]/SUMIF(geo_data[year],geo_data[[#This Row],[year]],geo_data[n])*100</f>
        <v>0.8201635802119982</v>
      </c>
    </row>
    <row r="87" spans="1:8">
      <c r="A87" s="8" t="s">
        <v>21</v>
      </c>
      <c r="B87" s="2">
        <v>2020</v>
      </c>
      <c r="C87" s="3">
        <v>1723</v>
      </c>
      <c r="D87" s="2">
        <v>1328976</v>
      </c>
      <c r="E87" s="2">
        <v>27859.3</v>
      </c>
      <c r="F87" s="4">
        <f>geo_data[[#This Row],[gdp_value_rec]]/geo_data[[#This Row],[population_rec]]*100</f>
        <v>2.0962982025258543</v>
      </c>
      <c r="G87" s="4">
        <f>geo_data[[#This Row],[n]]/geo_data[[#This Row],[population_rec]]*100</f>
        <v>0.12964869192521158</v>
      </c>
      <c r="H87" s="4">
        <f>geo_data[[#This Row],[n]]/SUMIF(geo_data[year],geo_data[[#This Row],[year]],geo_data[n])*100</f>
        <v>0.73985014062734833</v>
      </c>
    </row>
    <row r="88" spans="1:8">
      <c r="A88" s="8" t="s">
        <v>21</v>
      </c>
      <c r="B88" s="2">
        <v>2021</v>
      </c>
      <c r="C88" s="3">
        <v>2830</v>
      </c>
      <c r="D88" s="2">
        <v>1330068</v>
      </c>
      <c r="E88" s="2">
        <v>31453.3</v>
      </c>
      <c r="F88" s="4">
        <f>geo_data[[#This Row],[gdp_value_rec]]/geo_data[[#This Row],[population_rec]]*100</f>
        <v>2.364788867937579</v>
      </c>
      <c r="G88" s="4">
        <f>geo_data[[#This Row],[n]]/geo_data[[#This Row],[population_rec]]*100</f>
        <v>0.21277107636602038</v>
      </c>
      <c r="H88" s="4">
        <f>geo_data[[#This Row],[n]]/SUMIF(geo_data[year],geo_data[[#This Row],[year]],geo_data[n])*100</f>
        <v>0.72700742677904884</v>
      </c>
    </row>
    <row r="89" spans="1:8">
      <c r="A89" s="8" t="s">
        <v>21</v>
      </c>
      <c r="B89" s="2">
        <v>2022</v>
      </c>
      <c r="C89" s="3">
        <v>7075</v>
      </c>
      <c r="D89" s="2">
        <v>1331796</v>
      </c>
      <c r="E89" s="2">
        <v>36300.9</v>
      </c>
      <c r="F89" s="4">
        <f>geo_data[[#This Row],[gdp_value_rec]]/geo_data[[#This Row],[population_rec]]*100</f>
        <v>2.7257102439112297</v>
      </c>
      <c r="G89" s="4">
        <f>geo_data[[#This Row],[n]]/geo_data[[#This Row],[population_rec]]*100</f>
        <v>0.53123751685693599</v>
      </c>
      <c r="H89" s="4">
        <f>geo_data[[#This Row],[n]]/SUMIF(geo_data[year],geo_data[[#This Row],[year]],geo_data[n])*100</f>
        <v>1.0049401865282619</v>
      </c>
    </row>
    <row r="90" spans="1:8">
      <c r="A90" s="8" t="s">
        <v>22</v>
      </c>
      <c r="B90" s="2">
        <v>2014</v>
      </c>
      <c r="C90" s="3">
        <v>26149</v>
      </c>
      <c r="D90" s="2">
        <v>46495744</v>
      </c>
      <c r="E90" s="2">
        <v>1038949</v>
      </c>
      <c r="F90" s="4">
        <f>geo_data[[#This Row],[gdp_value_rec]]/geo_data[[#This Row],[population_rec]]*100</f>
        <v>2.2345034418634104</v>
      </c>
      <c r="G90" s="4">
        <f>geo_data[[#This Row],[n]]/geo_data[[#This Row],[population_rec]]*100</f>
        <v>5.6239556033343616E-2</v>
      </c>
      <c r="H90" s="4">
        <f>geo_data[[#This Row],[n]]/SUMIF(geo_data[year],geo_data[[#This Row],[year]],geo_data[n])*100</f>
        <v>12.988128942532162</v>
      </c>
    </row>
    <row r="91" spans="1:8">
      <c r="A91" s="8" t="s">
        <v>22</v>
      </c>
      <c r="B91" s="2">
        <v>2015</v>
      </c>
      <c r="C91" s="3">
        <v>47942</v>
      </c>
      <c r="D91" s="2">
        <v>46425722</v>
      </c>
      <c r="E91" s="2">
        <v>1087112</v>
      </c>
      <c r="F91" s="4">
        <f>geo_data[[#This Row],[gdp_value_rec]]/geo_data[[#This Row],[population_rec]]*100</f>
        <v>2.3416157103598731</v>
      </c>
      <c r="G91" s="4">
        <f>geo_data[[#This Row],[n]]/geo_data[[#This Row],[population_rec]]*100</f>
        <v>0.10326602998225855</v>
      </c>
      <c r="H91" s="4">
        <f>geo_data[[#This Row],[n]]/SUMIF(geo_data[year],geo_data[[#This Row],[year]],geo_data[n])*100</f>
        <v>10.47491282194702</v>
      </c>
    </row>
    <row r="92" spans="1:8">
      <c r="A92" s="8" t="s">
        <v>22</v>
      </c>
      <c r="B92" s="2">
        <v>2016</v>
      </c>
      <c r="C92" s="3">
        <v>53589</v>
      </c>
      <c r="D92" s="2">
        <v>46418884</v>
      </c>
      <c r="E92" s="2">
        <v>1122967</v>
      </c>
      <c r="F92" s="4">
        <f>geo_data[[#This Row],[gdp_value_rec]]/geo_data[[#This Row],[population_rec]]*100</f>
        <v>2.4192029261194645</v>
      </c>
      <c r="G92" s="4">
        <f>geo_data[[#This Row],[n]]/geo_data[[#This Row],[population_rec]]*100</f>
        <v>0.1154465497274773</v>
      </c>
      <c r="H92" s="4">
        <f>geo_data[[#This Row],[n]]/SUMIF(geo_data[year],geo_data[[#This Row],[year]],geo_data[n])*100</f>
        <v>10.675950274922306</v>
      </c>
    </row>
    <row r="93" spans="1:8">
      <c r="A93" s="8" t="s">
        <v>22</v>
      </c>
      <c r="B93" s="2">
        <v>2017</v>
      </c>
      <c r="C93" s="3">
        <v>59160</v>
      </c>
      <c r="D93" s="2">
        <v>46497393</v>
      </c>
      <c r="E93" s="2">
        <v>1170024</v>
      </c>
      <c r="F93" s="4">
        <f>geo_data[[#This Row],[gdp_value_rec]]/geo_data[[#This Row],[population_rec]]*100</f>
        <v>2.5163217215210323</v>
      </c>
      <c r="G93" s="4">
        <f>geo_data[[#This Row],[n]]/geo_data[[#This Row],[population_rec]]*100</f>
        <v>0.12723293970481314</v>
      </c>
      <c r="H93" s="4">
        <f>geo_data[[#This Row],[n]]/SUMIF(geo_data[year],geo_data[[#This Row],[year]],geo_data[n])*100</f>
        <v>11.074752708784173</v>
      </c>
    </row>
    <row r="94" spans="1:8">
      <c r="A94" s="8" t="s">
        <v>22</v>
      </c>
      <c r="B94" s="2">
        <v>2018</v>
      </c>
      <c r="C94" s="3">
        <v>63706</v>
      </c>
      <c r="D94" s="2">
        <v>46645070</v>
      </c>
      <c r="E94" s="2">
        <v>1212276</v>
      </c>
      <c r="F94" s="4">
        <f>geo_data[[#This Row],[gdp_value_rec]]/geo_data[[#This Row],[population_rec]]*100</f>
        <v>2.598937036647174</v>
      </c>
      <c r="G94" s="4">
        <f>geo_data[[#This Row],[n]]/geo_data[[#This Row],[population_rec]]*100</f>
        <v>0.13657606259353883</v>
      </c>
      <c r="H94" s="4">
        <f>geo_data[[#This Row],[n]]/SUMIF(geo_data[year],geo_data[[#This Row],[year]],geo_data[n])*100</f>
        <v>11.030119605792605</v>
      </c>
    </row>
    <row r="95" spans="1:8">
      <c r="A95" s="8" t="s">
        <v>22</v>
      </c>
      <c r="B95" s="2">
        <v>2019</v>
      </c>
      <c r="C95" s="3">
        <v>67378</v>
      </c>
      <c r="D95" s="2">
        <v>46918951</v>
      </c>
      <c r="E95" s="2">
        <v>1253710</v>
      </c>
      <c r="F95" s="4">
        <f>geo_data[[#This Row],[gdp_value_rec]]/geo_data[[#This Row],[population_rec]]*100</f>
        <v>2.6720759379296437</v>
      </c>
      <c r="G95" s="4">
        <f>geo_data[[#This Row],[n]]/geo_data[[#This Row],[population_rec]]*100</f>
        <v>0.14360508614099238</v>
      </c>
      <c r="H95" s="4">
        <f>geo_data[[#This Row],[n]]/SUMIF(geo_data[year],geo_data[[#This Row],[year]],geo_data[n])*100</f>
        <v>10.888863390645126</v>
      </c>
    </row>
    <row r="96" spans="1:8">
      <c r="A96" s="8" t="s">
        <v>22</v>
      </c>
      <c r="B96" s="2">
        <v>2020</v>
      </c>
      <c r="C96" s="3">
        <v>25088</v>
      </c>
      <c r="D96" s="2">
        <v>47318050</v>
      </c>
      <c r="E96" s="2">
        <v>1129214</v>
      </c>
      <c r="F96" s="4">
        <f>geo_data[[#This Row],[gdp_value_rec]]/geo_data[[#This Row],[population_rec]]*100</f>
        <v>2.3864339295469699</v>
      </c>
      <c r="G96" s="4">
        <f>geo_data[[#This Row],[n]]/geo_data[[#This Row],[population_rec]]*100</f>
        <v>5.3019936366777584E-2</v>
      </c>
      <c r="H96" s="4">
        <f>geo_data[[#This Row],[n]]/SUMIF(geo_data[year],geo_data[[#This Row],[year]],geo_data[n])*100</f>
        <v>10.772698971595423</v>
      </c>
    </row>
    <row r="97" spans="1:8">
      <c r="A97" s="8" t="s">
        <v>22</v>
      </c>
      <c r="B97" s="2">
        <v>2021</v>
      </c>
      <c r="C97" s="3">
        <v>54284</v>
      </c>
      <c r="D97" s="2">
        <v>47400798</v>
      </c>
      <c r="E97" s="2">
        <v>1235474</v>
      </c>
      <c r="F97" s="4">
        <f>geo_data[[#This Row],[gdp_value_rec]]/geo_data[[#This Row],[population_rec]]*100</f>
        <v>2.6064413514726059</v>
      </c>
      <c r="G97" s="4">
        <f>geo_data[[#This Row],[n]]/geo_data[[#This Row],[population_rec]]*100</f>
        <v>0.11452127873459007</v>
      </c>
      <c r="H97" s="4">
        <f>geo_data[[#This Row],[n]]/SUMIF(geo_data[year],geo_data[[#This Row],[year]],geo_data[n])*100</f>
        <v>13.945184153807027</v>
      </c>
    </row>
    <row r="98" spans="1:8">
      <c r="A98" s="8" t="s">
        <v>22</v>
      </c>
      <c r="B98" s="2">
        <v>2022</v>
      </c>
      <c r="C98" s="3">
        <v>83525</v>
      </c>
      <c r="D98" s="2">
        <v>47486843</v>
      </c>
      <c r="E98" s="2">
        <v>1375863</v>
      </c>
      <c r="F98" s="4">
        <f>geo_data[[#This Row],[gdp_value_rec]]/geo_data[[#This Row],[population_rec]]*100</f>
        <v>2.8973562213853632</v>
      </c>
      <c r="G98" s="4">
        <f>geo_data[[#This Row],[n]]/geo_data[[#This Row],[population_rec]]*100</f>
        <v>0.17589082517024768</v>
      </c>
      <c r="H98" s="4">
        <f>geo_data[[#This Row],[n]]/SUMIF(geo_data[year],geo_data[[#This Row],[year]],geo_data[n])*100</f>
        <v>11.863975841664038</v>
      </c>
    </row>
    <row r="99" spans="1:8">
      <c r="A99" s="8" t="s">
        <v>23</v>
      </c>
      <c r="B99" s="2">
        <v>2014</v>
      </c>
      <c r="C99" s="3">
        <v>3846</v>
      </c>
      <c r="D99" s="2">
        <v>5451270</v>
      </c>
      <c r="E99" s="2">
        <v>205855</v>
      </c>
      <c r="F99" s="4">
        <f>geo_data[[#This Row],[gdp_value_rec]]/geo_data[[#This Row],[population_rec]]*100</f>
        <v>3.7762759870635647</v>
      </c>
      <c r="G99" s="4">
        <f>geo_data[[#This Row],[n]]/geo_data[[#This Row],[population_rec]]*100</f>
        <v>7.0552366696201074E-2</v>
      </c>
      <c r="H99" s="4">
        <f>geo_data[[#This Row],[n]]/SUMIF(geo_data[year],geo_data[[#This Row],[year]],geo_data[n])*100</f>
        <v>1.9102965280882134</v>
      </c>
    </row>
    <row r="100" spans="1:8">
      <c r="A100" s="8" t="s">
        <v>23</v>
      </c>
      <c r="B100" s="2">
        <v>2015</v>
      </c>
      <c r="C100" s="3">
        <v>10189</v>
      </c>
      <c r="D100" s="2">
        <v>5471753</v>
      </c>
      <c r="E100" s="2">
        <v>210192</v>
      </c>
      <c r="F100" s="4">
        <f>geo_data[[#This Row],[gdp_value_rec]]/geo_data[[#This Row],[population_rec]]*100</f>
        <v>3.8414014667694252</v>
      </c>
      <c r="G100" s="4">
        <f>geo_data[[#This Row],[n]]/geo_data[[#This Row],[population_rec]]*100</f>
        <v>0.18621089073282365</v>
      </c>
      <c r="H100" s="4">
        <f>geo_data[[#This Row],[n]]/SUMIF(geo_data[year],geo_data[[#This Row],[year]],geo_data[n])*100</f>
        <v>2.2262084757168701</v>
      </c>
    </row>
    <row r="101" spans="1:8">
      <c r="A101" s="8" t="s">
        <v>23</v>
      </c>
      <c r="B101" s="2">
        <v>2016</v>
      </c>
      <c r="C101" s="3">
        <v>12040</v>
      </c>
      <c r="D101" s="2">
        <v>5487308</v>
      </c>
      <c r="E101" s="2">
        <v>215717</v>
      </c>
      <c r="F101" s="4">
        <f>geo_data[[#This Row],[gdp_value_rec]]/geo_data[[#This Row],[population_rec]]*100</f>
        <v>3.9311990506091514</v>
      </c>
      <c r="G101" s="4">
        <f>geo_data[[#This Row],[n]]/geo_data[[#This Row],[population_rec]]*100</f>
        <v>0.21941542191544561</v>
      </c>
      <c r="H101" s="4">
        <f>geo_data[[#This Row],[n]]/SUMIF(geo_data[year],geo_data[[#This Row],[year]],geo_data[n])*100</f>
        <v>2.3985974978085904</v>
      </c>
    </row>
    <row r="102" spans="1:8">
      <c r="A102" s="8" t="s">
        <v>23</v>
      </c>
      <c r="B102" s="2">
        <v>2017</v>
      </c>
      <c r="C102" s="3">
        <v>12151</v>
      </c>
      <c r="D102" s="2">
        <v>5503297</v>
      </c>
      <c r="E102" s="2">
        <v>224706</v>
      </c>
      <c r="F102" s="4">
        <f>geo_data[[#This Row],[gdp_value_rec]]/geo_data[[#This Row],[population_rec]]*100</f>
        <v>4.0831159939214619</v>
      </c>
      <c r="G102" s="4">
        <f>geo_data[[#This Row],[n]]/geo_data[[#This Row],[population_rec]]*100</f>
        <v>0.22079491621113673</v>
      </c>
      <c r="H102" s="4">
        <f>geo_data[[#This Row],[n]]/SUMIF(geo_data[year],geo_data[[#This Row],[year]],geo_data[n])*100</f>
        <v>2.2746673455787101</v>
      </c>
    </row>
    <row r="103" spans="1:8">
      <c r="A103" s="8" t="s">
        <v>23</v>
      </c>
      <c r="B103" s="2">
        <v>2018</v>
      </c>
      <c r="C103" s="3">
        <v>11835</v>
      </c>
      <c r="D103" s="2">
        <v>5513130</v>
      </c>
      <c r="E103" s="2">
        <v>231905</v>
      </c>
      <c r="F103" s="4">
        <f>geo_data[[#This Row],[gdp_value_rec]]/geo_data[[#This Row],[population_rec]]*100</f>
        <v>4.2064126911572917</v>
      </c>
      <c r="G103" s="4">
        <f>geo_data[[#This Row],[n]]/geo_data[[#This Row],[population_rec]]*100</f>
        <v>0.21466934391171621</v>
      </c>
      <c r="H103" s="4">
        <f>geo_data[[#This Row],[n]]/SUMIF(geo_data[year],geo_data[[#This Row],[year]],geo_data[n])*100</f>
        <v>2.0491235603327076</v>
      </c>
    </row>
    <row r="104" spans="1:8">
      <c r="A104" s="8" t="s">
        <v>23</v>
      </c>
      <c r="B104" s="2">
        <v>2019</v>
      </c>
      <c r="C104" s="3">
        <v>11594</v>
      </c>
      <c r="D104" s="2">
        <v>5517919</v>
      </c>
      <c r="E104" s="2">
        <v>238518</v>
      </c>
      <c r="F104" s="4">
        <f>geo_data[[#This Row],[gdp_value_rec]]/geo_data[[#This Row],[population_rec]]*100</f>
        <v>4.3226078527067902</v>
      </c>
      <c r="G104" s="4">
        <f>geo_data[[#This Row],[n]]/geo_data[[#This Row],[population_rec]]*100</f>
        <v>0.21011544388382647</v>
      </c>
      <c r="H104" s="4">
        <f>geo_data[[#This Row],[n]]/SUMIF(geo_data[year],geo_data[[#This Row],[year]],geo_data[n])*100</f>
        <v>1.8736899603897355</v>
      </c>
    </row>
    <row r="105" spans="1:8">
      <c r="A105" s="8" t="s">
        <v>23</v>
      </c>
      <c r="B105" s="2">
        <v>2020</v>
      </c>
      <c r="C105" s="3">
        <v>3897</v>
      </c>
      <c r="D105" s="2">
        <v>5525292</v>
      </c>
      <c r="E105" s="2">
        <v>236387</v>
      </c>
      <c r="F105" s="4">
        <f>geo_data[[#This Row],[gdp_value_rec]]/geo_data[[#This Row],[population_rec]]*100</f>
        <v>4.2782716279972171</v>
      </c>
      <c r="G105" s="4">
        <f>geo_data[[#This Row],[n]]/geo_data[[#This Row],[population_rec]]*100</f>
        <v>7.0530209082162537E-2</v>
      </c>
      <c r="H105" s="4">
        <f>geo_data[[#This Row],[n]]/SUMIF(geo_data[year],geo_data[[#This Row],[year]],geo_data[n])*100</f>
        <v>1.6733580951972002</v>
      </c>
    </row>
    <row r="106" spans="1:8">
      <c r="A106" s="8" t="s">
        <v>23</v>
      </c>
      <c r="B106" s="2">
        <v>2021</v>
      </c>
      <c r="C106" s="3">
        <v>2743</v>
      </c>
      <c r="D106" s="2">
        <v>5533793</v>
      </c>
      <c r="E106" s="2">
        <v>248764</v>
      </c>
      <c r="F106" s="4">
        <f>geo_data[[#This Row],[gdp_value_rec]]/geo_data[[#This Row],[population_rec]]*100</f>
        <v>4.495361499788662</v>
      </c>
      <c r="G106" s="4">
        <f>geo_data[[#This Row],[n]]/geo_data[[#This Row],[population_rec]]*100</f>
        <v>4.9568171415157736E-2</v>
      </c>
      <c r="H106" s="4">
        <f>geo_data[[#This Row],[n]]/SUMIF(geo_data[year],geo_data[[#This Row],[year]],geo_data[n])*100</f>
        <v>0.70465772849997554</v>
      </c>
    </row>
    <row r="107" spans="1:8">
      <c r="A107" s="8" t="s">
        <v>23</v>
      </c>
      <c r="B107" s="2">
        <v>2022</v>
      </c>
      <c r="C107" s="3">
        <v>11767</v>
      </c>
      <c r="D107" s="2">
        <v>5548241</v>
      </c>
      <c r="E107" s="2">
        <v>266135</v>
      </c>
      <c r="F107" s="4">
        <f>geo_data[[#This Row],[gdp_value_rec]]/geo_data[[#This Row],[population_rec]]*100</f>
        <v>4.7967454910484246</v>
      </c>
      <c r="G107" s="4">
        <f>geo_data[[#This Row],[n]]/geo_data[[#This Row],[population_rec]]*100</f>
        <v>0.2120852356629786</v>
      </c>
      <c r="H107" s="4">
        <f>geo_data[[#This Row],[n]]/SUMIF(geo_data[year],geo_data[[#This Row],[year]],geo_data[n])*100</f>
        <v>1.6713966324915983</v>
      </c>
    </row>
    <row r="108" spans="1:8">
      <c r="A108" s="8" t="s">
        <v>24</v>
      </c>
      <c r="B108" s="2">
        <v>2014</v>
      </c>
      <c r="C108" s="3">
        <v>22463</v>
      </c>
      <c r="D108" s="2">
        <v>66165980</v>
      </c>
      <c r="E108" s="2">
        <v>2153733.1</v>
      </c>
      <c r="F108" s="4">
        <f>geo_data[[#This Row],[gdp_value_rec]]/geo_data[[#This Row],[population_rec]]*100</f>
        <v>3.2550460221400792</v>
      </c>
      <c r="G108" s="4">
        <f>geo_data[[#This Row],[n]]/geo_data[[#This Row],[population_rec]]*100</f>
        <v>3.3949470709872358E-2</v>
      </c>
      <c r="H108" s="4">
        <f>geo_data[[#This Row],[n]]/SUMIF(geo_data[year],geo_data[[#This Row],[year]],geo_data[n])*100</f>
        <v>11.157303928872993</v>
      </c>
    </row>
    <row r="109" spans="1:8">
      <c r="A109" s="8" t="s">
        <v>24</v>
      </c>
      <c r="B109" s="2">
        <v>2015</v>
      </c>
      <c r="C109" s="3">
        <v>51562</v>
      </c>
      <c r="D109" s="2">
        <v>66458153</v>
      </c>
      <c r="E109" s="2">
        <v>2201401.6</v>
      </c>
      <c r="F109" s="4">
        <f>geo_data[[#This Row],[gdp_value_rec]]/geo_data[[#This Row],[population_rec]]*100</f>
        <v>3.3124628064821486</v>
      </c>
      <c r="G109" s="4">
        <f>geo_data[[#This Row],[n]]/geo_data[[#This Row],[population_rec]]*100</f>
        <v>7.7585665072575818E-2</v>
      </c>
      <c r="H109" s="4">
        <f>geo_data[[#This Row],[n]]/SUMIF(geo_data[year],geo_data[[#This Row],[year]],geo_data[n])*100</f>
        <v>11.265851548229783</v>
      </c>
    </row>
    <row r="110" spans="1:8">
      <c r="A110" s="8" t="s">
        <v>24</v>
      </c>
      <c r="B110" s="2">
        <v>2016</v>
      </c>
      <c r="C110" s="3">
        <v>59644</v>
      </c>
      <c r="D110" s="2">
        <v>66638391</v>
      </c>
      <c r="E110" s="2">
        <v>2231819.2000000002</v>
      </c>
      <c r="F110" s="4">
        <f>geo_data[[#This Row],[gdp_value_rec]]/geo_data[[#This Row],[population_rec]]*100</f>
        <v>3.3491492914347227</v>
      </c>
      <c r="G110" s="4">
        <f>geo_data[[#This Row],[n]]/geo_data[[#This Row],[population_rec]]*100</f>
        <v>8.9503961762822284E-2</v>
      </c>
      <c r="H110" s="4">
        <f>geo_data[[#This Row],[n]]/SUMIF(geo_data[year],geo_data[[#This Row],[year]],geo_data[n])*100</f>
        <v>11.882221690971392</v>
      </c>
    </row>
    <row r="111" spans="1:8">
      <c r="A111" s="8" t="s">
        <v>24</v>
      </c>
      <c r="B111" s="2">
        <v>2017</v>
      </c>
      <c r="C111" s="3">
        <v>63160</v>
      </c>
      <c r="D111" s="2">
        <v>66809816</v>
      </c>
      <c r="E111" s="2">
        <v>2291680.5</v>
      </c>
      <c r="F111" s="4">
        <f>geo_data[[#This Row],[gdp_value_rec]]/geo_data[[#This Row],[population_rec]]*100</f>
        <v>3.4301553831550744</v>
      </c>
      <c r="G111" s="4">
        <f>geo_data[[#This Row],[n]]/geo_data[[#This Row],[population_rec]]*100</f>
        <v>9.4537006358466846E-2</v>
      </c>
      <c r="H111" s="4">
        <f>geo_data[[#This Row],[n]]/SUMIF(geo_data[year],geo_data[[#This Row],[year]],geo_data[n])*100</f>
        <v>11.823552756707377</v>
      </c>
    </row>
    <row r="112" spans="1:8">
      <c r="A112" s="8" t="s">
        <v>24</v>
      </c>
      <c r="B112" s="2">
        <v>2018</v>
      </c>
      <c r="C112" s="3">
        <v>69927</v>
      </c>
      <c r="D112" s="2">
        <v>67026224</v>
      </c>
      <c r="E112" s="2">
        <v>2355362.7999999998</v>
      </c>
      <c r="F112" s="4">
        <f>geo_data[[#This Row],[gdp_value_rec]]/geo_data[[#This Row],[population_rec]]*100</f>
        <v>3.5140914397922813</v>
      </c>
      <c r="G112" s="4">
        <f>geo_data[[#This Row],[n]]/geo_data[[#This Row],[population_rec]]*100</f>
        <v>0.10432782249526693</v>
      </c>
      <c r="H112" s="4">
        <f>geo_data[[#This Row],[n]]/SUMIF(geo_data[year],geo_data[[#This Row],[year]],geo_data[n])*100</f>
        <v>12.107229674979743</v>
      </c>
    </row>
    <row r="113" spans="1:8">
      <c r="A113" s="8" t="s">
        <v>24</v>
      </c>
      <c r="B113" s="2">
        <v>2019</v>
      </c>
      <c r="C113" s="3">
        <v>77017</v>
      </c>
      <c r="D113" s="2">
        <v>67290471</v>
      </c>
      <c r="E113" s="2">
        <v>2432206.7999999998</v>
      </c>
      <c r="F113" s="4">
        <f>geo_data[[#This Row],[gdp_value_rec]]/geo_data[[#This Row],[population_rec]]*100</f>
        <v>3.6144891897100848</v>
      </c>
      <c r="G113" s="4">
        <f>geo_data[[#This Row],[n]]/geo_data[[#This Row],[population_rec]]*100</f>
        <v>0.11445454141642136</v>
      </c>
      <c r="H113" s="4">
        <f>geo_data[[#This Row],[n]]/SUMIF(geo_data[year],geo_data[[#This Row],[year]],geo_data[n])*100</f>
        <v>12.446608562992603</v>
      </c>
    </row>
    <row r="114" spans="1:8">
      <c r="A114" s="8" t="s">
        <v>24</v>
      </c>
      <c r="B114" s="2">
        <v>2020</v>
      </c>
      <c r="C114" s="3">
        <v>38358</v>
      </c>
      <c r="D114" s="2">
        <v>67473651</v>
      </c>
      <c r="E114" s="2">
        <v>2318276.2000000002</v>
      </c>
      <c r="F114" s="4">
        <f>geo_data[[#This Row],[gdp_value_rec]]/geo_data[[#This Row],[population_rec]]*100</f>
        <v>3.4358244524221759</v>
      </c>
      <c r="G114" s="4">
        <f>geo_data[[#This Row],[n]]/geo_data[[#This Row],[population_rec]]*100</f>
        <v>5.6848857934188264E-2</v>
      </c>
      <c r="H114" s="4">
        <f>geo_data[[#This Row],[n]]/SUMIF(geo_data[year],geo_data[[#This Row],[year]],geo_data[n])*100</f>
        <v>16.47079030422741</v>
      </c>
    </row>
    <row r="115" spans="1:8">
      <c r="A115" s="8" t="s">
        <v>24</v>
      </c>
      <c r="B115" s="2">
        <v>2021</v>
      </c>
      <c r="C115" s="3">
        <v>50426</v>
      </c>
      <c r="D115" s="2">
        <v>67728568</v>
      </c>
      <c r="E115" s="2">
        <v>2508102.2999999998</v>
      </c>
      <c r="F115" s="4">
        <f>geo_data[[#This Row],[gdp_value_rec]]/geo_data[[#This Row],[population_rec]]*100</f>
        <v>3.7031674728454318</v>
      </c>
      <c r="G115" s="4">
        <f>geo_data[[#This Row],[n]]/geo_data[[#This Row],[population_rec]]*100</f>
        <v>7.4453072741771237E-2</v>
      </c>
      <c r="H115" s="4">
        <f>geo_data[[#This Row],[n]]/SUMIF(geo_data[year],geo_data[[#This Row],[year]],geo_data[n])*100</f>
        <v>12.954090637017778</v>
      </c>
    </row>
    <row r="116" spans="1:8">
      <c r="A116" s="8" t="s">
        <v>24</v>
      </c>
      <c r="B116" s="2">
        <v>2022</v>
      </c>
      <c r="C116" s="3">
        <v>88828</v>
      </c>
      <c r="D116" s="2">
        <v>68091703</v>
      </c>
      <c r="E116" s="2">
        <v>2653997.2000000002</v>
      </c>
      <c r="F116" s="4">
        <f>geo_data[[#This Row],[gdp_value_rec]]/geo_data[[#This Row],[population_rec]]*100</f>
        <v>3.8976807497383343</v>
      </c>
      <c r="G116" s="4">
        <f>geo_data[[#This Row],[n]]/geo_data[[#This Row],[population_rec]]*100</f>
        <v>0.13045348564714265</v>
      </c>
      <c r="H116" s="4">
        <f>geo_data[[#This Row],[n]]/SUMIF(geo_data[year],geo_data[[#This Row],[year]],geo_data[n])*100</f>
        <v>12.617219348259004</v>
      </c>
    </row>
    <row r="117" spans="1:8">
      <c r="A117" s="8" t="s">
        <v>25</v>
      </c>
      <c r="B117" s="2">
        <v>2014</v>
      </c>
      <c r="C117" s="3">
        <v>1612</v>
      </c>
      <c r="D117" s="2">
        <v>4217632</v>
      </c>
      <c r="E117" s="2">
        <v>44280.7</v>
      </c>
      <c r="F117" s="4">
        <f>geo_data[[#This Row],[gdp_value_rec]]/geo_data[[#This Row],[population_rec]]*100</f>
        <v>1.0498948224975531</v>
      </c>
      <c r="G117" s="4">
        <f>geo_data[[#This Row],[n]]/geo_data[[#This Row],[population_rec]]*100</f>
        <v>3.8220499085742904E-2</v>
      </c>
      <c r="H117" s="4">
        <f>geo_data[[#This Row],[n]]/SUMIF(geo_data[year],geo_data[[#This Row],[year]],geo_data[n])*100</f>
        <v>0.80067550787264685</v>
      </c>
    </row>
    <row r="118" spans="1:8">
      <c r="A118" s="8" t="s">
        <v>25</v>
      </c>
      <c r="B118" s="2">
        <v>2015</v>
      </c>
      <c r="C118" s="3">
        <v>4836</v>
      </c>
      <c r="D118" s="2">
        <v>4180915</v>
      </c>
      <c r="E118" s="2">
        <v>45487.5</v>
      </c>
      <c r="F118" s="4">
        <f>geo_data[[#This Row],[gdp_value_rec]]/geo_data[[#This Row],[population_rec]]*100</f>
        <v>1.0879795451474139</v>
      </c>
      <c r="G118" s="4">
        <f>geo_data[[#This Row],[n]]/geo_data[[#This Row],[population_rec]]*100</f>
        <v>0.11566846013372671</v>
      </c>
      <c r="H118" s="4">
        <f>geo_data[[#This Row],[n]]/SUMIF(geo_data[year],geo_data[[#This Row],[year]],geo_data[n])*100</f>
        <v>1.0566242210782986</v>
      </c>
    </row>
    <row r="119" spans="1:8">
      <c r="A119" s="8" t="s">
        <v>25</v>
      </c>
      <c r="B119" s="2">
        <v>2016</v>
      </c>
      <c r="C119" s="3">
        <v>4798</v>
      </c>
      <c r="D119" s="2">
        <v>4131115</v>
      </c>
      <c r="E119" s="2">
        <v>47573.5</v>
      </c>
      <c r="F119" s="4">
        <f>geo_data[[#This Row],[gdp_value_rec]]/geo_data[[#This Row],[population_rec]]*100</f>
        <v>1.1515898250230265</v>
      </c>
      <c r="G119" s="4">
        <f>geo_data[[#This Row],[n]]/geo_data[[#This Row],[population_rec]]*100</f>
        <v>0.11614297834846041</v>
      </c>
      <c r="H119" s="4">
        <f>geo_data[[#This Row],[n]]/SUMIF(geo_data[year],geo_data[[#This Row],[year]],geo_data[n])*100</f>
        <v>0.95585305602040005</v>
      </c>
    </row>
    <row r="120" spans="1:8">
      <c r="A120" s="8" t="s">
        <v>25</v>
      </c>
      <c r="B120" s="2">
        <v>2017</v>
      </c>
      <c r="C120" s="3">
        <v>4999</v>
      </c>
      <c r="D120" s="2">
        <v>4078769</v>
      </c>
      <c r="E120" s="2">
        <v>50204.3</v>
      </c>
      <c r="F120" s="4">
        <f>geo_data[[#This Row],[gdp_value_rec]]/geo_data[[#This Row],[population_rec]]*100</f>
        <v>1.2308689214809665</v>
      </c>
      <c r="G120" s="4">
        <f>geo_data[[#This Row],[n]]/geo_data[[#This Row],[population_rec]]*100</f>
        <v>0.12256148852754349</v>
      </c>
      <c r="H120" s="4">
        <f>geo_data[[#This Row],[n]]/SUMIF(geo_data[year],geo_data[[#This Row],[year]],geo_data[n])*100</f>
        <v>0.93581285989202301</v>
      </c>
    </row>
    <row r="121" spans="1:8">
      <c r="A121" s="8" t="s">
        <v>25</v>
      </c>
      <c r="B121" s="2">
        <v>2018</v>
      </c>
      <c r="C121" s="3">
        <v>5711</v>
      </c>
      <c r="D121" s="2">
        <v>4014341</v>
      </c>
      <c r="E121" s="2">
        <v>53035.3</v>
      </c>
      <c r="F121" s="4">
        <f>geo_data[[#This Row],[gdp_value_rec]]/geo_data[[#This Row],[population_rec]]*100</f>
        <v>1.3211458617989853</v>
      </c>
      <c r="G121" s="4">
        <f>geo_data[[#This Row],[n]]/geo_data[[#This Row],[population_rec]]*100</f>
        <v>0.14226494460734651</v>
      </c>
      <c r="H121" s="4">
        <f>geo_data[[#This Row],[n]]/SUMIF(geo_data[year],geo_data[[#This Row],[year]],geo_data[n])*100</f>
        <v>0.98880816671399174</v>
      </c>
    </row>
    <row r="122" spans="1:8">
      <c r="A122" s="8" t="s">
        <v>25</v>
      </c>
      <c r="B122" s="2">
        <v>2019</v>
      </c>
      <c r="C122" s="3">
        <v>6619</v>
      </c>
      <c r="D122" s="2">
        <v>3968676</v>
      </c>
      <c r="E122" s="2">
        <v>55767.8</v>
      </c>
      <c r="F122" s="4">
        <f>geo_data[[#This Row],[gdp_value_rec]]/geo_data[[#This Row],[population_rec]]*100</f>
        <v>1.4051991142637998</v>
      </c>
      <c r="G122" s="4">
        <f>geo_data[[#This Row],[n]]/geo_data[[#This Row],[population_rec]]*100</f>
        <v>0.16678106250044095</v>
      </c>
      <c r="H122" s="4">
        <f>geo_data[[#This Row],[n]]/SUMIF(geo_data[year],geo_data[[#This Row],[year]],geo_data[n])*100</f>
        <v>1.0696872389011263</v>
      </c>
    </row>
    <row r="123" spans="1:8">
      <c r="A123" s="8" t="s">
        <v>25</v>
      </c>
      <c r="B123" s="2">
        <v>2020</v>
      </c>
      <c r="C123" s="3">
        <v>2530</v>
      </c>
      <c r="D123" s="2">
        <v>3933511</v>
      </c>
      <c r="E123" s="2">
        <v>50717.8</v>
      </c>
      <c r="F123" s="4">
        <f>geo_data[[#This Row],[gdp_value_rec]]/geo_data[[#This Row],[population_rec]]*100</f>
        <v>1.2893773527009331</v>
      </c>
      <c r="G123" s="4">
        <f>geo_data[[#This Row],[n]]/geo_data[[#This Row],[population_rec]]*100</f>
        <v>6.4319128635969239E-2</v>
      </c>
      <c r="H123" s="4">
        <f>geo_data[[#This Row],[n]]/SUMIF(geo_data[year],geo_data[[#This Row],[year]],geo_data[n])*100</f>
        <v>1.0863731026042898</v>
      </c>
    </row>
    <row r="124" spans="1:8">
      <c r="A124" s="8" t="s">
        <v>25</v>
      </c>
      <c r="B124" s="2">
        <v>2021</v>
      </c>
      <c r="C124" s="3">
        <v>4372</v>
      </c>
      <c r="D124" s="2">
        <v>3893026</v>
      </c>
      <c r="E124" s="2">
        <v>58390.400000000001</v>
      </c>
      <c r="F124" s="4">
        <f>geo_data[[#This Row],[gdp_value_rec]]/geo_data[[#This Row],[population_rec]]*100</f>
        <v>1.499871822073626</v>
      </c>
      <c r="G124" s="4">
        <f>geo_data[[#This Row],[n]]/geo_data[[#This Row],[population_rec]]*100</f>
        <v>0.11230338559259559</v>
      </c>
      <c r="H124" s="4">
        <f>geo_data[[#This Row],[n]]/SUMIF(geo_data[year],geo_data[[#This Row],[year]],geo_data[n])*100</f>
        <v>1.1231365617943467</v>
      </c>
    </row>
    <row r="125" spans="1:8">
      <c r="A125" s="8" t="s">
        <v>25</v>
      </c>
      <c r="B125" s="2">
        <v>2022</v>
      </c>
      <c r="C125" s="3">
        <v>8954</v>
      </c>
      <c r="D125" s="2">
        <v>3862305</v>
      </c>
      <c r="E125" s="2">
        <v>67609.399999999994</v>
      </c>
      <c r="F125" s="4">
        <f>geo_data[[#This Row],[gdp_value_rec]]/geo_data[[#This Row],[population_rec]]*100</f>
        <v>1.7504935524253002</v>
      </c>
      <c r="G125" s="4">
        <f>geo_data[[#This Row],[n]]/geo_data[[#This Row],[population_rec]]*100</f>
        <v>0.23183047428931686</v>
      </c>
      <c r="H125" s="4">
        <f>geo_data[[#This Row],[n]]/SUMIF(geo_data[year],geo_data[[#This Row],[year]],geo_data[n])*100</f>
        <v>1.2718352551482766</v>
      </c>
    </row>
    <row r="126" spans="1:8">
      <c r="A126" s="8" t="s">
        <v>26</v>
      </c>
      <c r="B126" s="2">
        <v>2014</v>
      </c>
      <c r="C126" s="3">
        <v>3847</v>
      </c>
      <c r="D126" s="2">
        <v>9850217</v>
      </c>
      <c r="E126" s="2">
        <v>106335.3</v>
      </c>
      <c r="F126" s="4">
        <f>geo_data[[#This Row],[gdp_value_rec]]/geo_data[[#This Row],[population_rec]]*100</f>
        <v>1.0795224105215144</v>
      </c>
      <c r="G126" s="4">
        <f>geo_data[[#This Row],[n]]/geo_data[[#This Row],[population_rec]]*100</f>
        <v>3.9054977164462469E-2</v>
      </c>
      <c r="H126" s="4">
        <f>geo_data[[#This Row],[n]]/SUMIF(geo_data[year],geo_data[[#This Row],[year]],geo_data[n])*100</f>
        <v>1.910793225053395</v>
      </c>
    </row>
    <row r="127" spans="1:8">
      <c r="A127" s="8" t="s">
        <v>26</v>
      </c>
      <c r="B127" s="2">
        <v>2015</v>
      </c>
      <c r="C127" s="3">
        <v>9829</v>
      </c>
      <c r="D127" s="2">
        <v>9815858</v>
      </c>
      <c r="E127" s="2">
        <v>112854</v>
      </c>
      <c r="F127" s="4">
        <f>geo_data[[#This Row],[gdp_value_rec]]/geo_data[[#This Row],[population_rec]]*100</f>
        <v>1.1497110084518338</v>
      </c>
      <c r="G127" s="4">
        <f>geo_data[[#This Row],[n]]/geo_data[[#This Row],[population_rec]]*100</f>
        <v>0.1001338853923926</v>
      </c>
      <c r="H127" s="4">
        <f>geo_data[[#This Row],[n]]/SUMIF(geo_data[year],geo_data[[#This Row],[year]],geo_data[n])*100</f>
        <v>2.1475515858102971</v>
      </c>
    </row>
    <row r="128" spans="1:8">
      <c r="A128" s="8" t="s">
        <v>26</v>
      </c>
      <c r="B128" s="2">
        <v>2016</v>
      </c>
      <c r="C128" s="3">
        <v>10883</v>
      </c>
      <c r="D128" s="2">
        <v>9779652</v>
      </c>
      <c r="E128" s="2">
        <v>116593.5</v>
      </c>
      <c r="F128" s="4">
        <f>geo_data[[#This Row],[gdp_value_rec]]/geo_data[[#This Row],[population_rec]]*100</f>
        <v>1.1922049987054755</v>
      </c>
      <c r="G128" s="4">
        <f>geo_data[[#This Row],[n]]/geo_data[[#This Row],[population_rec]]*100</f>
        <v>0.11128207833980186</v>
      </c>
      <c r="H128" s="4">
        <f>geo_data[[#This Row],[n]]/SUMIF(geo_data[year],geo_data[[#This Row],[year]],geo_data[n])*100</f>
        <v>2.1681010439078814</v>
      </c>
    </row>
    <row r="129" spans="1:8">
      <c r="A129" s="8" t="s">
        <v>26</v>
      </c>
      <c r="B129" s="2">
        <v>2017</v>
      </c>
      <c r="C129" s="3">
        <v>11557</v>
      </c>
      <c r="D129" s="2">
        <v>9739857</v>
      </c>
      <c r="E129" s="2">
        <v>127222.5</v>
      </c>
      <c r="F129" s="4">
        <f>geo_data[[#This Row],[gdp_value_rec]]/geo_data[[#This Row],[population_rec]]*100</f>
        <v>1.3062050089647106</v>
      </c>
      <c r="G129" s="4">
        <f>geo_data[[#This Row],[n]]/geo_data[[#This Row],[population_rec]]*100</f>
        <v>0.118656772886912</v>
      </c>
      <c r="H129" s="4">
        <f>geo_data[[#This Row],[n]]/SUMIF(geo_data[year],geo_data[[#This Row],[year]],geo_data[n])*100</f>
        <v>2.1634705384621142</v>
      </c>
    </row>
    <row r="130" spans="1:8">
      <c r="A130" s="8" t="s">
        <v>26</v>
      </c>
      <c r="B130" s="2">
        <v>2018</v>
      </c>
      <c r="C130" s="3">
        <v>12298</v>
      </c>
      <c r="D130" s="2">
        <v>9713655</v>
      </c>
      <c r="E130" s="2">
        <v>136580</v>
      </c>
      <c r="F130" s="4">
        <f>geo_data[[#This Row],[gdp_value_rec]]/geo_data[[#This Row],[population_rec]]*100</f>
        <v>1.4060618788705177</v>
      </c>
      <c r="G130" s="4">
        <f>geo_data[[#This Row],[n]]/geo_data[[#This Row],[population_rec]]*100</f>
        <v>0.12660527885744347</v>
      </c>
      <c r="H130" s="4">
        <f>geo_data[[#This Row],[n]]/SUMIF(geo_data[year],geo_data[[#This Row],[year]],geo_data[n])*100</f>
        <v>2.1292878364995049</v>
      </c>
    </row>
    <row r="131" spans="1:8">
      <c r="A131" s="8" t="s">
        <v>26</v>
      </c>
      <c r="B131" s="2">
        <v>2019</v>
      </c>
      <c r="C131" s="3">
        <v>14030</v>
      </c>
      <c r="D131" s="2">
        <v>9700272</v>
      </c>
      <c r="E131" s="2">
        <v>147373.20000000001</v>
      </c>
      <c r="F131" s="4">
        <f>geo_data[[#This Row],[gdp_value_rec]]/geo_data[[#This Row],[population_rec]]*100</f>
        <v>1.5192687380312635</v>
      </c>
      <c r="G131" s="4">
        <f>geo_data[[#This Row],[n]]/geo_data[[#This Row],[population_rec]]*100</f>
        <v>0.14463511951005084</v>
      </c>
      <c r="H131" s="4">
        <f>geo_data[[#This Row],[n]]/SUMIF(geo_data[year],geo_data[[#This Row],[year]],geo_data[n])*100</f>
        <v>2.2673684788914943</v>
      </c>
    </row>
    <row r="132" spans="1:8">
      <c r="A132" s="8" t="s">
        <v>26</v>
      </c>
      <c r="B132" s="2">
        <v>2020</v>
      </c>
      <c r="C132" s="3">
        <v>3837</v>
      </c>
      <c r="D132" s="2">
        <v>9689376</v>
      </c>
      <c r="E132" s="2">
        <v>138954.5</v>
      </c>
      <c r="F132" s="4">
        <f>geo_data[[#This Row],[gdp_value_rec]]/geo_data[[#This Row],[population_rec]]*100</f>
        <v>1.434091318161252</v>
      </c>
      <c r="G132" s="4">
        <f>geo_data[[#This Row],[n]]/geo_data[[#This Row],[population_rec]]*100</f>
        <v>3.9600073317414872E-2</v>
      </c>
      <c r="H132" s="4">
        <f>geo_data[[#This Row],[n]]/SUMIF(geo_data[year],geo_data[[#This Row],[year]],geo_data[n])*100</f>
        <v>1.6475943062026321</v>
      </c>
    </row>
    <row r="133" spans="1:8">
      <c r="A133" s="8" t="s">
        <v>26</v>
      </c>
      <c r="B133" s="2">
        <v>2021</v>
      </c>
      <c r="C133" s="3">
        <v>7883</v>
      </c>
      <c r="D133" s="2">
        <v>9651461</v>
      </c>
      <c r="E133" s="2">
        <v>154971.70000000001</v>
      </c>
      <c r="F133" s="4">
        <f>geo_data[[#This Row],[gdp_value_rec]]/geo_data[[#This Row],[population_rec]]*100</f>
        <v>1.6056812538536913</v>
      </c>
      <c r="G133" s="4">
        <f>geo_data[[#This Row],[n]]/geo_data[[#This Row],[population_rec]]*100</f>
        <v>8.1676753395159549E-2</v>
      </c>
      <c r="H133" s="4">
        <f>geo_data[[#This Row],[n]]/SUMIF(geo_data[year],geo_data[[#This Row],[year]],geo_data[n])*100</f>
        <v>2.0250881785509689</v>
      </c>
    </row>
    <row r="134" spans="1:8">
      <c r="A134" s="8" t="s">
        <v>26</v>
      </c>
      <c r="B134" s="2">
        <v>2022</v>
      </c>
      <c r="C134" s="3">
        <v>18185</v>
      </c>
      <c r="D134" s="2">
        <v>9610403</v>
      </c>
      <c r="E134" s="2">
        <v>168546.2</v>
      </c>
      <c r="F134" s="4">
        <f>geo_data[[#This Row],[gdp_value_rec]]/geo_data[[#This Row],[population_rec]]*100</f>
        <v>1.7537890970857313</v>
      </c>
      <c r="G134" s="4">
        <f>geo_data[[#This Row],[n]]/geo_data[[#This Row],[population_rec]]*100</f>
        <v>0.18922203366497742</v>
      </c>
      <c r="H134" s="4">
        <f>geo_data[[#This Row],[n]]/SUMIF(geo_data[year],geo_data[[#This Row],[year]],geo_data[n])*100</f>
        <v>2.5830158716631013</v>
      </c>
    </row>
    <row r="135" spans="1:8">
      <c r="A135" s="8" t="s">
        <v>27</v>
      </c>
      <c r="B135" s="2">
        <v>2014</v>
      </c>
      <c r="C135" s="3">
        <v>1978</v>
      </c>
      <c r="D135" s="2">
        <v>4637852</v>
      </c>
      <c r="E135" s="2">
        <v>200594.9</v>
      </c>
      <c r="F135" s="4">
        <f>geo_data[[#This Row],[gdp_value_rec]]/geo_data[[#This Row],[population_rec]]*100</f>
        <v>4.325168202866327</v>
      </c>
      <c r="G135" s="4">
        <f>geo_data[[#This Row],[n]]/geo_data[[#This Row],[population_rec]]*100</f>
        <v>4.2649053915476388E-2</v>
      </c>
      <c r="H135" s="4">
        <f>geo_data[[#This Row],[n]]/SUMIF(geo_data[year],geo_data[[#This Row],[year]],geo_data[n])*100</f>
        <v>0.98246659712909157</v>
      </c>
    </row>
    <row r="136" spans="1:8">
      <c r="A136" s="8" t="s">
        <v>27</v>
      </c>
      <c r="B136" s="2">
        <v>2015</v>
      </c>
      <c r="C136" s="3">
        <v>4521</v>
      </c>
      <c r="D136" s="2">
        <v>4677627</v>
      </c>
      <c r="E136" s="2">
        <v>272282.90000000002</v>
      </c>
      <c r="F136" s="4">
        <f>geo_data[[#This Row],[gdp_value_rec]]/geo_data[[#This Row],[population_rec]]*100</f>
        <v>5.8209622101120937</v>
      </c>
      <c r="G136" s="4">
        <f>geo_data[[#This Row],[n]]/geo_data[[#This Row],[population_rec]]*100</f>
        <v>9.6651571405757669E-2</v>
      </c>
      <c r="H136" s="4">
        <f>geo_data[[#This Row],[n]]/SUMIF(geo_data[year],geo_data[[#This Row],[year]],geo_data[n])*100</f>
        <v>0.98779944241004713</v>
      </c>
    </row>
    <row r="137" spans="1:8">
      <c r="A137" s="8" t="s">
        <v>27</v>
      </c>
      <c r="B137" s="2">
        <v>2016</v>
      </c>
      <c r="C137" s="3">
        <v>4869</v>
      </c>
      <c r="D137" s="2">
        <v>4726286</v>
      </c>
      <c r="E137" s="2">
        <v>275933.09999999998</v>
      </c>
      <c r="F137" s="4">
        <f>geo_data[[#This Row],[gdp_value_rec]]/geo_data[[#This Row],[population_rec]]*100</f>
        <v>5.83826497169236</v>
      </c>
      <c r="G137" s="4">
        <f>geo_data[[#This Row],[n]]/geo_data[[#This Row],[population_rec]]*100</f>
        <v>0.10301958027931445</v>
      </c>
      <c r="H137" s="4">
        <f>geo_data[[#This Row],[n]]/SUMIF(geo_data[year],geo_data[[#This Row],[year]],geo_data[n])*100</f>
        <v>0.96999760937126456</v>
      </c>
    </row>
    <row r="138" spans="1:8">
      <c r="A138" s="8" t="s">
        <v>27</v>
      </c>
      <c r="B138" s="2">
        <v>2017</v>
      </c>
      <c r="C138" s="3">
        <v>5233</v>
      </c>
      <c r="D138" s="2">
        <v>4799157</v>
      </c>
      <c r="E138" s="2">
        <v>308366</v>
      </c>
      <c r="F138" s="4">
        <f>geo_data[[#This Row],[gdp_value_rec]]/geo_data[[#This Row],[population_rec]]*100</f>
        <v>6.4254201310771881</v>
      </c>
      <c r="G138" s="4">
        <f>geo_data[[#This Row],[n]]/geo_data[[#This Row],[population_rec]]*100</f>
        <v>0.10903998348043209</v>
      </c>
      <c r="H138" s="4">
        <f>geo_data[[#This Row],[n]]/SUMIF(geo_data[year],geo_data[[#This Row],[year]],geo_data[n])*100</f>
        <v>0.97961766269553041</v>
      </c>
    </row>
    <row r="139" spans="1:8">
      <c r="A139" s="8" t="s">
        <v>27</v>
      </c>
      <c r="B139" s="2">
        <v>2018</v>
      </c>
      <c r="C139" s="3">
        <v>5930</v>
      </c>
      <c r="D139" s="2">
        <v>4855733</v>
      </c>
      <c r="E139" s="2">
        <v>335136</v>
      </c>
      <c r="F139" s="4">
        <f>geo_data[[#This Row],[gdp_value_rec]]/geo_data[[#This Row],[population_rec]]*100</f>
        <v>6.9018621905281865</v>
      </c>
      <c r="G139" s="4">
        <f>geo_data[[#This Row],[n]]/geo_data[[#This Row],[population_rec]]*100</f>
        <v>0.12212368348918691</v>
      </c>
      <c r="H139" s="4">
        <f>geo_data[[#This Row],[n]]/SUMIF(geo_data[year],geo_data[[#This Row],[year]],geo_data[n])*100</f>
        <v>1.0267260424818723</v>
      </c>
    </row>
    <row r="140" spans="1:8">
      <c r="A140" s="8" t="s">
        <v>27</v>
      </c>
      <c r="B140" s="2">
        <v>2019</v>
      </c>
      <c r="C140" s="3">
        <v>6559</v>
      </c>
      <c r="D140" s="2">
        <v>4940311</v>
      </c>
      <c r="E140" s="2">
        <v>363752.6</v>
      </c>
      <c r="F140" s="4">
        <f>geo_data[[#This Row],[gdp_value_rec]]/geo_data[[#This Row],[population_rec]]*100</f>
        <v>7.3629494175569103</v>
      </c>
      <c r="G140" s="4">
        <f>geo_data[[#This Row],[n]]/geo_data[[#This Row],[population_rec]]*100</f>
        <v>0.13276492107480684</v>
      </c>
      <c r="H140" s="4">
        <f>geo_data[[#This Row],[n]]/SUMIF(geo_data[year],geo_data[[#This Row],[year]],geo_data[n])*100</f>
        <v>1.0599907236670929</v>
      </c>
    </row>
    <row r="141" spans="1:8">
      <c r="A141" s="8" t="s">
        <v>27</v>
      </c>
      <c r="B141" s="2">
        <v>2020</v>
      </c>
      <c r="C141" s="3">
        <v>3304</v>
      </c>
      <c r="D141" s="2">
        <v>5012600</v>
      </c>
      <c r="E141" s="2">
        <v>381728.7</v>
      </c>
      <c r="F141" s="4">
        <f>geo_data[[#This Row],[gdp_value_rec]]/geo_data[[#This Row],[population_rec]]*100</f>
        <v>7.6153832342496912</v>
      </c>
      <c r="G141" s="4">
        <f>geo_data[[#This Row],[n]]/geo_data[[#This Row],[population_rec]]*100</f>
        <v>6.5913896979611378E-2</v>
      </c>
      <c r="H141" s="4">
        <f>geo_data[[#This Row],[n]]/SUMIF(geo_data[year],geo_data[[#This Row],[year]],geo_data[n])*100</f>
        <v>1.4187259806342187</v>
      </c>
    </row>
    <row r="142" spans="1:8">
      <c r="A142" s="8" t="s">
        <v>27</v>
      </c>
      <c r="B142" s="2">
        <v>2021</v>
      </c>
      <c r="C142" s="3">
        <v>3782</v>
      </c>
      <c r="D142" s="2">
        <v>5066893</v>
      </c>
      <c r="E142" s="2">
        <v>448445.1</v>
      </c>
      <c r="F142" s="4">
        <f>geo_data[[#This Row],[gdp_value_rec]]/geo_data[[#This Row],[population_rec]]*100</f>
        <v>8.8504947706612302</v>
      </c>
      <c r="G142" s="4">
        <f>geo_data[[#This Row],[n]]/geo_data[[#This Row],[population_rec]]*100</f>
        <v>7.4641402532084261E-2</v>
      </c>
      <c r="H142" s="4">
        <f>geo_data[[#This Row],[n]]/SUMIF(geo_data[year],geo_data[[#This Row],[year]],geo_data[n])*100</f>
        <v>0.9715696424305168</v>
      </c>
    </row>
    <row r="143" spans="1:8">
      <c r="A143" s="8" t="s">
        <v>27</v>
      </c>
      <c r="B143" s="2">
        <v>2022</v>
      </c>
      <c r="C143" s="3">
        <v>7179</v>
      </c>
      <c r="D143" s="2">
        <v>5154277</v>
      </c>
      <c r="E143" s="2">
        <v>520718.4</v>
      </c>
      <c r="F143" s="4">
        <f>geo_data[[#This Row],[gdp_value_rec]]/geo_data[[#This Row],[population_rec]]*100</f>
        <v>10.102646792168912</v>
      </c>
      <c r="G143" s="4">
        <f>geo_data[[#This Row],[n]]/geo_data[[#This Row],[population_rec]]*100</f>
        <v>0.13928238625902334</v>
      </c>
      <c r="H143" s="4">
        <f>geo_data[[#This Row],[n]]/SUMIF(geo_data[year],geo_data[[#This Row],[year]],geo_data[n])*100</f>
        <v>1.0197124521676879</v>
      </c>
    </row>
    <row r="144" spans="1:8">
      <c r="A144" s="8" t="s">
        <v>28</v>
      </c>
      <c r="B144" s="2">
        <v>2014</v>
      </c>
      <c r="C144" s="3">
        <v>386</v>
      </c>
      <c r="D144" s="2">
        <v>325671</v>
      </c>
      <c r="E144" s="2">
        <v>13611.7</v>
      </c>
      <c r="F144" s="4">
        <f>geo_data[[#This Row],[gdp_value_rec]]/geo_data[[#This Row],[population_rec]]*100</f>
        <v>4.1795861467554678</v>
      </c>
      <c r="G144" s="4">
        <f>geo_data[[#This Row],[n]]/geo_data[[#This Row],[population_rec]]*100</f>
        <v>0.11852452321514657</v>
      </c>
      <c r="H144" s="4">
        <f>geo_data[[#This Row],[n]]/SUMIF(geo_data[year],geo_data[[#This Row],[year]],geo_data[n])*100</f>
        <v>0.19172502856007551</v>
      </c>
    </row>
    <row r="145" spans="1:8">
      <c r="A145" s="8" t="s">
        <v>28</v>
      </c>
      <c r="B145" s="2">
        <v>2015</v>
      </c>
      <c r="C145" s="3">
        <v>849</v>
      </c>
      <c r="D145" s="2">
        <v>329100</v>
      </c>
      <c r="E145" s="2">
        <v>15960.5</v>
      </c>
      <c r="F145" s="4">
        <f>geo_data[[#This Row],[gdp_value_rec]]/geo_data[[#This Row],[population_rec]]*100</f>
        <v>4.8497417198419939</v>
      </c>
      <c r="G145" s="4">
        <f>geo_data[[#This Row],[n]]/geo_data[[#This Row],[population_rec]]*100</f>
        <v>0.25797629899726526</v>
      </c>
      <c r="H145" s="4">
        <f>geo_data[[#This Row],[n]]/SUMIF(geo_data[year],geo_data[[#This Row],[year]],geo_data[n])*100</f>
        <v>0.18549916536300154</v>
      </c>
    </row>
    <row r="146" spans="1:8">
      <c r="A146" s="8" t="s">
        <v>28</v>
      </c>
      <c r="B146" s="2">
        <v>2016</v>
      </c>
      <c r="C146" s="3">
        <v>1127</v>
      </c>
      <c r="D146" s="2">
        <v>332529</v>
      </c>
      <c r="E146" s="2">
        <v>19067</v>
      </c>
      <c r="F146" s="4">
        <f>geo_data[[#This Row],[gdp_value_rec]]/geo_data[[#This Row],[population_rec]]*100</f>
        <v>5.7339359875379285</v>
      </c>
      <c r="G146" s="4">
        <f>geo_data[[#This Row],[n]]/geo_data[[#This Row],[population_rec]]*100</f>
        <v>0.33891780867232629</v>
      </c>
      <c r="H146" s="4">
        <f>geo_data[[#This Row],[n]]/SUMIF(geo_data[year],geo_data[[#This Row],[year]],geo_data[n])*100</f>
        <v>0.22451988206231574</v>
      </c>
    </row>
    <row r="147" spans="1:8">
      <c r="A147" s="8" t="s">
        <v>28</v>
      </c>
      <c r="B147" s="2">
        <v>2017</v>
      </c>
      <c r="C147" s="3">
        <v>1292</v>
      </c>
      <c r="D147" s="2">
        <v>338349</v>
      </c>
      <c r="E147" s="2">
        <v>22211.8</v>
      </c>
      <c r="F147" s="4">
        <f>geo_data[[#This Row],[gdp_value_rec]]/geo_data[[#This Row],[population_rec]]*100</f>
        <v>6.5647600554457082</v>
      </c>
      <c r="G147" s="4">
        <f>geo_data[[#This Row],[n]]/geo_data[[#This Row],[population_rec]]*100</f>
        <v>0.38185423926182727</v>
      </c>
      <c r="H147" s="4">
        <f>geo_data[[#This Row],[n]]/SUMIF(geo_data[year],geo_data[[#This Row],[year]],geo_data[n])*100</f>
        <v>0.2418624154791946</v>
      </c>
    </row>
    <row r="148" spans="1:8">
      <c r="A148" s="8" t="s">
        <v>28</v>
      </c>
      <c r="B148" s="2">
        <v>2018</v>
      </c>
      <c r="C148" s="3">
        <v>1159</v>
      </c>
      <c r="D148" s="2">
        <v>348450</v>
      </c>
      <c r="E148" s="2">
        <v>22591.200000000001</v>
      </c>
      <c r="F148" s="4">
        <f>geo_data[[#This Row],[gdp_value_rec]]/geo_data[[#This Row],[population_rec]]*100</f>
        <v>6.48334050796384</v>
      </c>
      <c r="G148" s="4">
        <f>geo_data[[#This Row],[n]]/geo_data[[#This Row],[population_rec]]*100</f>
        <v>0.33261587028268047</v>
      </c>
      <c r="H148" s="4">
        <f>geo_data[[#This Row],[n]]/SUMIF(geo_data[year],geo_data[[#This Row],[year]],geo_data[n])*100</f>
        <v>0.20067040189485497</v>
      </c>
    </row>
    <row r="149" spans="1:8">
      <c r="A149" s="8" t="s">
        <v>28</v>
      </c>
      <c r="B149" s="2">
        <v>2019</v>
      </c>
      <c r="C149" s="3">
        <v>1370</v>
      </c>
      <c r="D149" s="2">
        <v>356991</v>
      </c>
      <c r="E149" s="2">
        <v>22315.1</v>
      </c>
      <c r="F149" s="4">
        <f>geo_data[[#This Row],[gdp_value_rec]]/geo_data[[#This Row],[population_rec]]*100</f>
        <v>6.2508858766747615</v>
      </c>
      <c r="G149" s="4">
        <f>geo_data[[#This Row],[n]]/geo_data[[#This Row],[population_rec]]*100</f>
        <v>0.38376317610247879</v>
      </c>
      <c r="H149" s="4">
        <f>geo_data[[#This Row],[n]]/SUMIF(geo_data[year],geo_data[[#This Row],[year]],geo_data[n])*100</f>
        <v>0.22140376451043101</v>
      </c>
    </row>
    <row r="150" spans="1:8">
      <c r="A150" s="8" t="s">
        <v>28</v>
      </c>
      <c r="B150" s="2">
        <v>2020</v>
      </c>
      <c r="C150" s="3">
        <v>456</v>
      </c>
      <c r="D150" s="2">
        <v>364134</v>
      </c>
      <c r="E150" s="2">
        <v>19302.5</v>
      </c>
      <c r="F150" s="4">
        <f>geo_data[[#This Row],[gdp_value_rec]]/geo_data[[#This Row],[population_rec]]*100</f>
        <v>5.3009331729528135</v>
      </c>
      <c r="G150" s="4">
        <f>geo_data[[#This Row],[n]]/geo_data[[#This Row],[population_rec]]*100</f>
        <v>0.12522862462719769</v>
      </c>
      <c r="H150" s="4">
        <f>geo_data[[#This Row],[n]]/SUMIF(geo_data[year],geo_data[[#This Row],[year]],geo_data[n])*100</f>
        <v>0.19580479635871781</v>
      </c>
    </row>
    <row r="151" spans="1:8">
      <c r="A151" s="8" t="s">
        <v>28</v>
      </c>
      <c r="B151" s="2">
        <v>2021</v>
      </c>
      <c r="C151" s="3">
        <v>480</v>
      </c>
      <c r="D151" s="2">
        <v>368792</v>
      </c>
      <c r="E151" s="2">
        <v>22188.1</v>
      </c>
      <c r="F151" s="4">
        <f>geo_data[[#This Row],[gdp_value_rec]]/geo_data[[#This Row],[population_rec]]*100</f>
        <v>6.0164266036139606</v>
      </c>
      <c r="G151" s="4">
        <f>geo_data[[#This Row],[n]]/geo_data[[#This Row],[population_rec]]*100</f>
        <v>0.13015466712943882</v>
      </c>
      <c r="H151" s="4">
        <f>geo_data[[#This Row],[n]]/SUMIF(geo_data[year],geo_data[[#This Row],[year]],geo_data[n])*100</f>
        <v>0.12330868016040405</v>
      </c>
    </row>
    <row r="152" spans="1:8">
      <c r="A152" s="8" t="s">
        <v>28</v>
      </c>
      <c r="B152" s="2">
        <v>2022</v>
      </c>
      <c r="C152" s="3">
        <v>1703</v>
      </c>
      <c r="D152" s="2">
        <v>376248</v>
      </c>
      <c r="E152" s="2">
        <v>27748.6</v>
      </c>
      <c r="F152" s="4">
        <f>geo_data[[#This Row],[gdp_value_rec]]/geo_data[[#This Row],[population_rec]]*100</f>
        <v>7.3750823924645434</v>
      </c>
      <c r="G152" s="4">
        <f>geo_data[[#This Row],[n]]/geo_data[[#This Row],[population_rec]]*100</f>
        <v>0.45262699070825624</v>
      </c>
      <c r="H152" s="4">
        <f>geo_data[[#This Row],[n]]/SUMIF(geo_data[year],geo_data[[#This Row],[year]],geo_data[n])*100</f>
        <v>0.24189584984560139</v>
      </c>
    </row>
    <row r="153" spans="1:8">
      <c r="A153" s="8" t="s">
        <v>29</v>
      </c>
      <c r="B153" s="2">
        <v>2014</v>
      </c>
      <c r="C153" s="3">
        <v>20474</v>
      </c>
      <c r="D153" s="2">
        <v>60345917</v>
      </c>
      <c r="E153" s="2">
        <v>1635870.7</v>
      </c>
      <c r="F153" s="4">
        <f>geo_data[[#This Row],[gdp_value_rec]]/geo_data[[#This Row],[population_rec]]*100</f>
        <v>2.7108225068483089</v>
      </c>
      <c r="G153" s="4">
        <f>geo_data[[#This Row],[n]]/geo_data[[#This Row],[population_rec]]*100</f>
        <v>3.3927730354979944E-2</v>
      </c>
      <c r="H153" s="4">
        <f>geo_data[[#This Row],[n]]/SUMIF(geo_data[year],geo_data[[#This Row],[year]],geo_data[n])*100</f>
        <v>10.169373665126907</v>
      </c>
    </row>
    <row r="154" spans="1:8">
      <c r="A154" s="8" t="s">
        <v>29</v>
      </c>
      <c r="B154" s="2">
        <v>2015</v>
      </c>
      <c r="C154" s="3">
        <v>46853</v>
      </c>
      <c r="D154" s="2">
        <v>60295497</v>
      </c>
      <c r="E154" s="2">
        <v>1663277.7</v>
      </c>
      <c r="F154" s="4">
        <f>geo_data[[#This Row],[gdp_value_rec]]/geo_data[[#This Row],[population_rec]]*100</f>
        <v>2.7585438096645922</v>
      </c>
      <c r="G154" s="4">
        <f>geo_data[[#This Row],[n]]/geo_data[[#This Row],[population_rec]]*100</f>
        <v>7.7705636956603902E-2</v>
      </c>
      <c r="H154" s="4">
        <f>geo_data[[#This Row],[n]]/SUMIF(geo_data[year],geo_data[[#This Row],[year]],geo_data[n])*100</f>
        <v>10.236975729979637</v>
      </c>
    </row>
    <row r="155" spans="1:8">
      <c r="A155" s="8" t="s">
        <v>29</v>
      </c>
      <c r="B155" s="2">
        <v>2016</v>
      </c>
      <c r="C155" s="3">
        <v>51589</v>
      </c>
      <c r="D155" s="2">
        <v>60163712</v>
      </c>
      <c r="E155" s="2">
        <v>1704856.7</v>
      </c>
      <c r="F155" s="4">
        <f>geo_data[[#This Row],[gdp_value_rec]]/geo_data[[#This Row],[population_rec]]*100</f>
        <v>2.8336959993425936</v>
      </c>
      <c r="G155" s="4">
        <f>geo_data[[#This Row],[n]]/geo_data[[#This Row],[population_rec]]*100</f>
        <v>8.5747701205670296E-2</v>
      </c>
      <c r="H155" s="4">
        <f>geo_data[[#This Row],[n]]/SUMIF(geo_data[year],geo_data[[#This Row],[year]],geo_data[n])*100</f>
        <v>10.277512152362737</v>
      </c>
    </row>
    <row r="156" spans="1:8">
      <c r="A156" s="8" t="s">
        <v>29</v>
      </c>
      <c r="B156" s="2">
        <v>2017</v>
      </c>
      <c r="C156" s="3">
        <v>54723</v>
      </c>
      <c r="D156" s="2">
        <v>60066734</v>
      </c>
      <c r="E156" s="2">
        <v>1744493</v>
      </c>
      <c r="F156" s="4">
        <f>geo_data[[#This Row],[gdp_value_rec]]/geo_data[[#This Row],[population_rec]]*100</f>
        <v>2.9042581206429503</v>
      </c>
      <c r="G156" s="4">
        <f>geo_data[[#This Row],[n]]/geo_data[[#This Row],[population_rec]]*100</f>
        <v>9.1103671459813337E-2</v>
      </c>
      <c r="H156" s="4">
        <f>geo_data[[#This Row],[n]]/SUMIF(geo_data[year],geo_data[[#This Row],[year]],geo_data[n])*100</f>
        <v>10.244146255625362</v>
      </c>
    </row>
    <row r="157" spans="1:8">
      <c r="A157" s="8" t="s">
        <v>29</v>
      </c>
      <c r="B157" s="2">
        <v>2018</v>
      </c>
      <c r="C157" s="3">
        <v>59548</v>
      </c>
      <c r="D157" s="2">
        <v>59937769</v>
      </c>
      <c r="E157" s="2">
        <v>1777744.4</v>
      </c>
      <c r="F157" s="4">
        <f>geo_data[[#This Row],[gdp_value_rec]]/geo_data[[#This Row],[population_rec]]*100</f>
        <v>2.9659836020923631</v>
      </c>
      <c r="G157" s="4">
        <f>geo_data[[#This Row],[n]]/geo_data[[#This Row],[population_rec]]*100</f>
        <v>9.9349710530600488E-2</v>
      </c>
      <c r="H157" s="4">
        <f>geo_data[[#This Row],[n]]/SUMIF(geo_data[year],geo_data[[#This Row],[year]],geo_data[n])*100</f>
        <v>10.310199389158605</v>
      </c>
    </row>
    <row r="158" spans="1:8">
      <c r="A158" s="8" t="s">
        <v>29</v>
      </c>
      <c r="B158" s="2">
        <v>2019</v>
      </c>
      <c r="C158" s="3">
        <v>62853</v>
      </c>
      <c r="D158" s="2">
        <v>59816673</v>
      </c>
      <c r="E158" s="2">
        <v>1804066.8</v>
      </c>
      <c r="F158" s="4">
        <f>geo_data[[#This Row],[gdp_value_rec]]/geo_data[[#This Row],[population_rec]]*100</f>
        <v>3.0159932164732735</v>
      </c>
      <c r="G158" s="4">
        <f>geo_data[[#This Row],[n]]/geo_data[[#This Row],[population_rec]]*100</f>
        <v>0.10507605463112267</v>
      </c>
      <c r="H158" s="4">
        <f>geo_data[[#This Row],[n]]/SUMIF(geo_data[year],geo_data[[#This Row],[year]],geo_data[n])*100</f>
        <v>10.157584533411768</v>
      </c>
    </row>
    <row r="159" spans="1:8">
      <c r="A159" s="8" t="s">
        <v>29</v>
      </c>
      <c r="B159" s="2">
        <v>2020</v>
      </c>
      <c r="C159" s="3">
        <v>23978</v>
      </c>
      <c r="D159" s="2">
        <v>59641488</v>
      </c>
      <c r="E159" s="2">
        <v>1670011.9</v>
      </c>
      <c r="F159" s="4">
        <f>geo_data[[#This Row],[gdp_value_rec]]/geo_data[[#This Row],[population_rec]]*100</f>
        <v>2.8000842299575086</v>
      </c>
      <c r="G159" s="4">
        <f>geo_data[[#This Row],[n]]/geo_data[[#This Row],[population_rec]]*100</f>
        <v>4.0203557630889425E-2</v>
      </c>
      <c r="H159" s="4">
        <f>geo_data[[#This Row],[n]]/SUMIF(geo_data[year],geo_data[[#This Row],[year]],geo_data[n])*100</f>
        <v>10.296068875195912</v>
      </c>
    </row>
    <row r="160" spans="1:8">
      <c r="A160" s="8" t="s">
        <v>29</v>
      </c>
      <c r="B160" s="2">
        <v>2021</v>
      </c>
      <c r="C160" s="3">
        <v>48234</v>
      </c>
      <c r="D160" s="2">
        <v>59236213</v>
      </c>
      <c r="E160" s="2">
        <v>1842507.4</v>
      </c>
      <c r="F160" s="4">
        <f>geo_data[[#This Row],[gdp_value_rec]]/geo_data[[#This Row],[population_rec]]*100</f>
        <v>3.1104409054643649</v>
      </c>
      <c r="G160" s="4">
        <f>geo_data[[#This Row],[n]]/geo_data[[#This Row],[population_rec]]*100</f>
        <v>8.1426542240301561E-2</v>
      </c>
      <c r="H160" s="4">
        <f>geo_data[[#This Row],[n]]/SUMIF(geo_data[year],geo_data[[#This Row],[year]],geo_data[n])*100</f>
        <v>12.390980997618602</v>
      </c>
    </row>
    <row r="161" spans="1:8">
      <c r="A161" s="8" t="s">
        <v>29</v>
      </c>
      <c r="B161" s="2">
        <v>2022</v>
      </c>
      <c r="C161" s="3">
        <v>77372</v>
      </c>
      <c r="D161" s="2">
        <v>59030133</v>
      </c>
      <c r="E161" s="2">
        <v>1998072.6</v>
      </c>
      <c r="F161" s="4">
        <f>geo_data[[#This Row],[gdp_value_rec]]/geo_data[[#This Row],[population_rec]]*100</f>
        <v>3.3848349960519317</v>
      </c>
      <c r="G161" s="4">
        <f>geo_data[[#This Row],[n]]/geo_data[[#This Row],[population_rec]]*100</f>
        <v>0.13107204078296755</v>
      </c>
      <c r="H161" s="4">
        <f>geo_data[[#This Row],[n]]/SUMIF(geo_data[year],geo_data[[#This Row],[year]],geo_data[n])*100</f>
        <v>10.98999747166992</v>
      </c>
    </row>
    <row r="162" spans="1:8">
      <c r="A162" s="8" t="s">
        <v>30</v>
      </c>
      <c r="B162" s="2">
        <v>2014</v>
      </c>
      <c r="C162" s="3">
        <v>51</v>
      </c>
      <c r="D162" s="2">
        <v>37129</v>
      </c>
      <c r="E162" s="2">
        <v>5021.7</v>
      </c>
      <c r="F162" s="4">
        <f>geo_data[[#This Row],[gdp_value_rec]]/geo_data[[#This Row],[population_rec]]*100</f>
        <v>13.525007406609388</v>
      </c>
      <c r="G162" s="4">
        <f>geo_data[[#This Row],[n]]/geo_data[[#This Row],[population_rec]]*100</f>
        <v>0.13735893775754801</v>
      </c>
      <c r="H162" s="4">
        <f>geo_data[[#This Row],[n]]/SUMIF(geo_data[year],geo_data[[#This Row],[year]],geo_data[n])*100</f>
        <v>2.5331545224258682E-2</v>
      </c>
    </row>
    <row r="163" spans="1:8">
      <c r="A163" s="8" t="s">
        <v>30</v>
      </c>
      <c r="B163" s="2">
        <v>2015</v>
      </c>
      <c r="C163" s="3">
        <v>137</v>
      </c>
      <c r="D163" s="2">
        <v>37366</v>
      </c>
      <c r="E163" s="2">
        <v>5649.1</v>
      </c>
      <c r="F163" s="4">
        <f>geo_data[[#This Row],[gdp_value_rec]]/geo_data[[#This Row],[population_rec]]*100</f>
        <v>15.118289353958145</v>
      </c>
      <c r="G163" s="4">
        <f>geo_data[[#This Row],[n]]/geo_data[[#This Row],[population_rec]]*100</f>
        <v>0.36664347267569447</v>
      </c>
      <c r="H163" s="4">
        <f>geo_data[[#This Row],[n]]/SUMIF(geo_data[year],geo_data[[#This Row],[year]],geo_data[n])*100</f>
        <v>2.9933316436668096E-2</v>
      </c>
    </row>
    <row r="164" spans="1:8">
      <c r="A164" s="8" t="s">
        <v>30</v>
      </c>
      <c r="B164" s="2">
        <v>2016</v>
      </c>
      <c r="C164" s="3">
        <v>175</v>
      </c>
      <c r="D164" s="2">
        <v>37622</v>
      </c>
      <c r="E164" s="2">
        <v>5637.7</v>
      </c>
      <c r="F164" s="4">
        <f>geo_data[[#This Row],[gdp_value_rec]]/geo_data[[#This Row],[population_rec]]*100</f>
        <v>14.985115092233267</v>
      </c>
      <c r="G164" s="4">
        <f>geo_data[[#This Row],[n]]/geo_data[[#This Row],[population_rec]]*100</f>
        <v>0.46515336771038218</v>
      </c>
      <c r="H164" s="4">
        <f>geo_data[[#This Row],[n]]/SUMIF(geo_data[year],geo_data[[#This Row],[year]],geo_data[n])*100</f>
        <v>3.4863335723962066E-2</v>
      </c>
    </row>
    <row r="165" spans="1:8">
      <c r="A165" s="8" t="s">
        <v>30</v>
      </c>
      <c r="B165" s="2">
        <v>2017</v>
      </c>
      <c r="C165" s="3">
        <v>144</v>
      </c>
      <c r="D165" s="2">
        <v>37810</v>
      </c>
      <c r="E165" s="2">
        <v>5734.6</v>
      </c>
      <c r="F165" s="4">
        <f>geo_data[[#This Row],[gdp_value_rec]]/geo_data[[#This Row],[population_rec]]*100</f>
        <v>15.166887066913514</v>
      </c>
      <c r="G165" s="4">
        <f>geo_data[[#This Row],[n]]/geo_data[[#This Row],[population_rec]]*100</f>
        <v>0.38085162655382171</v>
      </c>
      <c r="H165" s="4">
        <f>geo_data[[#This Row],[n]]/SUMIF(geo_data[year],geo_data[[#This Row],[year]],geo_data[n])*100</f>
        <v>2.6956801725235312E-2</v>
      </c>
    </row>
    <row r="166" spans="1:8">
      <c r="A166" s="8" t="s">
        <v>30</v>
      </c>
      <c r="B166" s="2">
        <v>2018</v>
      </c>
      <c r="C166" s="3">
        <v>191</v>
      </c>
      <c r="D166" s="2">
        <v>38114</v>
      </c>
      <c r="E166" s="2">
        <v>5666.3</v>
      </c>
      <c r="F166" s="4">
        <f>geo_data[[#This Row],[gdp_value_rec]]/geo_data[[#This Row],[population_rec]]*100</f>
        <v>14.866715642546048</v>
      </c>
      <c r="G166" s="4">
        <f>geo_data[[#This Row],[n]]/geo_data[[#This Row],[population_rec]]*100</f>
        <v>0.50112819436427558</v>
      </c>
      <c r="H166" s="4">
        <f>geo_data[[#This Row],[n]]/SUMIF(geo_data[year],geo_data[[#This Row],[year]],geo_data[n])*100</f>
        <v>3.3069928181119319E-2</v>
      </c>
    </row>
    <row r="167" spans="1:8">
      <c r="A167" s="8" t="s">
        <v>30</v>
      </c>
      <c r="B167" s="2">
        <v>2019</v>
      </c>
      <c r="C167" s="3">
        <v>190</v>
      </c>
      <c r="D167" s="2">
        <v>38378</v>
      </c>
      <c r="E167" s="2">
        <v>5750.1</v>
      </c>
      <c r="F167" s="4">
        <f>geo_data[[#This Row],[gdp_value_rec]]/geo_data[[#This Row],[population_rec]]*100</f>
        <v>14.982802647350047</v>
      </c>
      <c r="G167" s="4">
        <f>geo_data[[#This Row],[n]]/geo_data[[#This Row],[population_rec]]*100</f>
        <v>0.49507530355933083</v>
      </c>
      <c r="H167" s="4">
        <f>geo_data[[#This Row],[n]]/SUMIF(geo_data[year],geo_data[[#This Row],[year]],geo_data[n])*100</f>
        <v>3.070563157443934E-2</v>
      </c>
    </row>
    <row r="168" spans="1:8">
      <c r="A168" s="8" t="s">
        <v>30</v>
      </c>
      <c r="B168" s="2">
        <v>2020</v>
      </c>
      <c r="C168" s="3">
        <v>83</v>
      </c>
      <c r="D168" s="2">
        <v>38747</v>
      </c>
      <c r="E168" s="2">
        <v>5618</v>
      </c>
      <c r="F168" s="4">
        <f>geo_data[[#This Row],[gdp_value_rec]]/geo_data[[#This Row],[population_rec]]*100</f>
        <v>14.499187033834879</v>
      </c>
      <c r="G168" s="4">
        <f>geo_data[[#This Row],[n]]/geo_data[[#This Row],[population_rec]]*100</f>
        <v>0.21421013239734688</v>
      </c>
      <c r="H168" s="4">
        <f>geo_data[[#This Row],[n]]/SUMIF(geo_data[year],geo_data[[#This Row],[year]],geo_data[n])*100</f>
        <v>3.5639908109152588E-2</v>
      </c>
    </row>
    <row r="169" spans="1:8">
      <c r="A169" s="8" t="s">
        <v>30</v>
      </c>
      <c r="B169" s="2">
        <v>2021</v>
      </c>
      <c r="C169" s="3">
        <v>62</v>
      </c>
      <c r="D169" s="2">
        <v>39055</v>
      </c>
      <c r="E169" s="2">
        <v>6688.5</v>
      </c>
      <c r="F169" s="4">
        <f>geo_data[[#This Row],[gdp_value_rec]]/geo_data[[#This Row],[population_rec]]*100</f>
        <v>17.125848162847266</v>
      </c>
      <c r="G169" s="4">
        <f>geo_data[[#This Row],[n]]/geo_data[[#This Row],[population_rec]]*100</f>
        <v>0.15875048009217771</v>
      </c>
      <c r="H169" s="4">
        <f>geo_data[[#This Row],[n]]/SUMIF(geo_data[year],geo_data[[#This Row],[year]],geo_data[n])*100</f>
        <v>1.5927371187385523E-2</v>
      </c>
    </row>
    <row r="170" spans="1:8">
      <c r="A170" s="8" t="s">
        <v>30</v>
      </c>
      <c r="B170" s="2">
        <v>2022</v>
      </c>
      <c r="C170" s="3">
        <v>98</v>
      </c>
      <c r="D170" s="2">
        <v>39308</v>
      </c>
      <c r="E170" s="2">
        <v>7058.2</v>
      </c>
      <c r="F170" s="4">
        <f>geo_data[[#This Row],[gdp_value_rec]]/geo_data[[#This Row],[population_rec]]*100</f>
        <v>17.956141243512771</v>
      </c>
      <c r="G170" s="4">
        <f>geo_data[[#This Row],[n]]/geo_data[[#This Row],[population_rec]]*100</f>
        <v>0.24931311692276381</v>
      </c>
      <c r="H170" s="4">
        <f>geo_data[[#This Row],[n]]/SUMIF(geo_data[year],geo_data[[#This Row],[year]],geo_data[n])*100</f>
        <v>1.392001954484377E-2</v>
      </c>
    </row>
    <row r="171" spans="1:8">
      <c r="A171" s="8" t="s">
        <v>31</v>
      </c>
      <c r="B171" s="2">
        <v>2014</v>
      </c>
      <c r="C171" s="3">
        <v>3275</v>
      </c>
      <c r="D171" s="2">
        <v>2947862</v>
      </c>
      <c r="E171" s="2">
        <v>36410.1</v>
      </c>
      <c r="F171" s="4">
        <f>geo_data[[#This Row],[gdp_value_rec]]/geo_data[[#This Row],[population_rec]]*100</f>
        <v>1.2351358374306529</v>
      </c>
      <c r="G171" s="4">
        <f>geo_data[[#This Row],[n]]/geo_data[[#This Row],[population_rec]]*100</f>
        <v>0.1110974665706875</v>
      </c>
      <c r="H171" s="4">
        <f>geo_data[[#This Row],[n]]/SUMIF(geo_data[year],geo_data[[#This Row],[year]],geo_data[n])*100</f>
        <v>1.6266825609695525</v>
      </c>
    </row>
    <row r="172" spans="1:8">
      <c r="A172" s="8" t="s">
        <v>31</v>
      </c>
      <c r="B172" s="2">
        <v>2015</v>
      </c>
      <c r="C172" s="3">
        <v>9570</v>
      </c>
      <c r="D172" s="2">
        <v>2926644</v>
      </c>
      <c r="E172" s="2">
        <v>37440.699999999997</v>
      </c>
      <c r="F172" s="4">
        <f>geo_data[[#This Row],[gdp_value_rec]]/geo_data[[#This Row],[population_rec]]*100</f>
        <v>1.2793048966666256</v>
      </c>
      <c r="G172" s="4">
        <f>geo_data[[#This Row],[n]]/geo_data[[#This Row],[population_rec]]*100</f>
        <v>0.32699569882773583</v>
      </c>
      <c r="H172" s="4">
        <f>geo_data[[#This Row],[n]]/SUMIF(geo_data[year],geo_data[[#This Row],[year]],geo_data[n])*100</f>
        <v>2.0909623233497348</v>
      </c>
    </row>
    <row r="173" spans="1:8">
      <c r="A173" s="8" t="s">
        <v>31</v>
      </c>
      <c r="B173" s="2">
        <v>2016</v>
      </c>
      <c r="C173" s="3">
        <v>10294</v>
      </c>
      <c r="D173" s="2">
        <v>2895573</v>
      </c>
      <c r="E173" s="2">
        <v>38820.699999999997</v>
      </c>
      <c r="F173" s="4">
        <f>geo_data[[#This Row],[gdp_value_rec]]/geo_data[[#This Row],[population_rec]]*100</f>
        <v>1.3406914624497466</v>
      </c>
      <c r="G173" s="4">
        <f>geo_data[[#This Row],[n]]/geo_data[[#This Row],[population_rec]]*100</f>
        <v>0.35550821892592593</v>
      </c>
      <c r="H173" s="4">
        <f>geo_data[[#This Row],[n]]/SUMIF(geo_data[year],geo_data[[#This Row],[year]],geo_data[n])*100</f>
        <v>2.0507610168140888</v>
      </c>
    </row>
    <row r="174" spans="1:8">
      <c r="A174" s="8" t="s">
        <v>31</v>
      </c>
      <c r="B174" s="2">
        <v>2017</v>
      </c>
      <c r="C174" s="3">
        <v>10652</v>
      </c>
      <c r="D174" s="2">
        <v>2859077</v>
      </c>
      <c r="E174" s="2">
        <v>42274.6</v>
      </c>
      <c r="F174" s="4">
        <f>geo_data[[#This Row],[gdp_value_rec]]/geo_data[[#This Row],[population_rec]]*100</f>
        <v>1.4786100549233194</v>
      </c>
      <c r="G174" s="4">
        <f>geo_data[[#This Row],[n]]/geo_data[[#This Row],[population_rec]]*100</f>
        <v>0.37256779023440084</v>
      </c>
      <c r="H174" s="4">
        <f>geo_data[[#This Row],[n]]/SUMIF(geo_data[year],geo_data[[#This Row],[year]],geo_data[n])*100</f>
        <v>1.9940545276194896</v>
      </c>
    </row>
    <row r="175" spans="1:8">
      <c r="A175" s="8" t="s">
        <v>31</v>
      </c>
      <c r="B175" s="2">
        <v>2018</v>
      </c>
      <c r="C175" s="3">
        <v>10976</v>
      </c>
      <c r="D175" s="2">
        <v>2826200</v>
      </c>
      <c r="E175" s="2">
        <v>45947.4</v>
      </c>
      <c r="F175" s="4">
        <f>geo_data[[#This Row],[gdp_value_rec]]/geo_data[[#This Row],[population_rec]]*100</f>
        <v>1.6257660462812258</v>
      </c>
      <c r="G175" s="4">
        <f>geo_data[[#This Row],[n]]/geo_data[[#This Row],[population_rec]]*100</f>
        <v>0.38836600382138564</v>
      </c>
      <c r="H175" s="4">
        <f>geo_data[[#This Row],[n]]/SUMIF(geo_data[year],geo_data[[#This Row],[year]],geo_data[n])*100</f>
        <v>1.9003954540102914</v>
      </c>
    </row>
    <row r="176" spans="1:8">
      <c r="A176" s="8" t="s">
        <v>31</v>
      </c>
      <c r="B176" s="2">
        <v>2019</v>
      </c>
      <c r="C176" s="3">
        <v>12060</v>
      </c>
      <c r="D176" s="2">
        <v>2812200</v>
      </c>
      <c r="E176" s="2">
        <v>49239.199999999997</v>
      </c>
      <c r="F176" s="4">
        <f>geo_data[[#This Row],[gdp_value_rec]]/geo_data[[#This Row],[population_rec]]*100</f>
        <v>1.7509138752578053</v>
      </c>
      <c r="G176" s="4">
        <f>geo_data[[#This Row],[n]]/geo_data[[#This Row],[population_rec]]*100</f>
        <v>0.42884574354597826</v>
      </c>
      <c r="H176" s="4">
        <f>geo_data[[#This Row],[n]]/SUMIF(geo_data[year],geo_data[[#This Row],[year]],geo_data[n])*100</f>
        <v>1.9489995620407288</v>
      </c>
    </row>
    <row r="177" spans="1:8">
      <c r="A177" s="8" t="s">
        <v>31</v>
      </c>
      <c r="B177" s="2">
        <v>2020</v>
      </c>
      <c r="C177" s="3">
        <v>4372</v>
      </c>
      <c r="D177" s="2">
        <v>2809977</v>
      </c>
      <c r="E177" s="2">
        <v>50264.6</v>
      </c>
      <c r="F177" s="4">
        <f>geo_data[[#This Row],[gdp_value_rec]]/geo_data[[#This Row],[population_rec]]*100</f>
        <v>1.7887904420569991</v>
      </c>
      <c r="G177" s="4">
        <f>geo_data[[#This Row],[n]]/geo_data[[#This Row],[population_rec]]*100</f>
        <v>0.15558846211196745</v>
      </c>
      <c r="H177" s="4">
        <f>geo_data[[#This Row],[n]]/SUMIF(geo_data[year],geo_data[[#This Row],[year]],geo_data[n])*100</f>
        <v>1.8773214247375314</v>
      </c>
    </row>
    <row r="178" spans="1:8">
      <c r="A178" s="8" t="s">
        <v>31</v>
      </c>
      <c r="B178" s="2">
        <v>2021</v>
      </c>
      <c r="C178" s="3">
        <v>8098</v>
      </c>
      <c r="D178" s="2">
        <v>2810761</v>
      </c>
      <c r="E178" s="2">
        <v>56709.1</v>
      </c>
      <c r="F178" s="4">
        <f>geo_data[[#This Row],[gdp_value_rec]]/geo_data[[#This Row],[population_rec]]*100</f>
        <v>2.0175710421483717</v>
      </c>
      <c r="G178" s="4">
        <f>geo_data[[#This Row],[n]]/geo_data[[#This Row],[population_rec]]*100</f>
        <v>0.28810702866590221</v>
      </c>
      <c r="H178" s="4">
        <f>geo_data[[#This Row],[n]]/SUMIF(geo_data[year],geo_data[[#This Row],[year]],geo_data[n])*100</f>
        <v>2.0803201915394833</v>
      </c>
    </row>
    <row r="179" spans="1:8">
      <c r="A179" s="8" t="s">
        <v>31</v>
      </c>
      <c r="B179" s="2">
        <v>2022</v>
      </c>
      <c r="C179" s="3">
        <v>13878</v>
      </c>
      <c r="D179" s="2">
        <v>2805998</v>
      </c>
      <c r="E179" s="2">
        <v>67081.100000000006</v>
      </c>
      <c r="F179" s="4">
        <f>geo_data[[#This Row],[gdp_value_rec]]/geo_data[[#This Row],[population_rec]]*100</f>
        <v>2.3906324951051285</v>
      </c>
      <c r="G179" s="4">
        <f>geo_data[[#This Row],[n]]/geo_data[[#This Row],[population_rec]]*100</f>
        <v>0.49458338886912961</v>
      </c>
      <c r="H179" s="4">
        <f>geo_data[[#This Row],[n]]/SUMIF(geo_data[year],geo_data[[#This Row],[year]],geo_data[n])*100</f>
        <v>1.9712452167687942</v>
      </c>
    </row>
    <row r="180" spans="1:8">
      <c r="A180" s="8" t="s">
        <v>32</v>
      </c>
      <c r="B180" s="2">
        <v>2014</v>
      </c>
      <c r="C180" s="3">
        <v>391</v>
      </c>
      <c r="D180" s="2">
        <v>549680</v>
      </c>
      <c r="E180" s="2">
        <v>51791.3</v>
      </c>
      <c r="F180" s="4">
        <f>geo_data[[#This Row],[gdp_value_rec]]/geo_data[[#This Row],[population_rec]]*100</f>
        <v>9.4220819385824477</v>
      </c>
      <c r="G180" s="4">
        <f>geo_data[[#This Row],[n]]/geo_data[[#This Row],[population_rec]]*100</f>
        <v>7.1132295153543884E-2</v>
      </c>
      <c r="H180" s="4">
        <f>geo_data[[#This Row],[n]]/SUMIF(geo_data[year],geo_data[[#This Row],[year]],geo_data[n])*100</f>
        <v>0.19420851338598322</v>
      </c>
    </row>
    <row r="181" spans="1:8">
      <c r="A181" s="8" t="s">
        <v>32</v>
      </c>
      <c r="B181" s="2">
        <v>2015</v>
      </c>
      <c r="C181" s="3">
        <v>833</v>
      </c>
      <c r="D181" s="2">
        <v>562958</v>
      </c>
      <c r="E181" s="2">
        <v>54142.3</v>
      </c>
      <c r="F181" s="4">
        <f>geo_data[[#This Row],[gdp_value_rec]]/geo_data[[#This Row],[population_rec]]*100</f>
        <v>9.617467022406645</v>
      </c>
      <c r="G181" s="4">
        <f>geo_data[[#This Row],[n]]/geo_data[[#This Row],[population_rec]]*100</f>
        <v>0.14796840972150677</v>
      </c>
      <c r="H181" s="4">
        <f>geo_data[[#This Row],[n]]/SUMIF(geo_data[year],geo_data[[#This Row],[year]],geo_data[n])*100</f>
        <v>0.18200330358937608</v>
      </c>
    </row>
    <row r="182" spans="1:8">
      <c r="A182" s="8" t="s">
        <v>32</v>
      </c>
      <c r="B182" s="2">
        <v>2016</v>
      </c>
      <c r="C182" s="3">
        <v>942</v>
      </c>
      <c r="D182" s="2">
        <v>576249</v>
      </c>
      <c r="E182" s="2">
        <v>56208.1</v>
      </c>
      <c r="F182" s="4">
        <f>geo_data[[#This Row],[gdp_value_rec]]/geo_data[[#This Row],[population_rec]]*100</f>
        <v>9.754134063573213</v>
      </c>
      <c r="G182" s="4">
        <f>geo_data[[#This Row],[n]]/geo_data[[#This Row],[population_rec]]*100</f>
        <v>0.1634709995158343</v>
      </c>
      <c r="H182" s="4">
        <f>geo_data[[#This Row],[n]]/SUMIF(geo_data[year],geo_data[[#This Row],[year]],geo_data[n])*100</f>
        <v>0.18766435572555581</v>
      </c>
    </row>
    <row r="183" spans="1:8">
      <c r="A183" s="8" t="s">
        <v>32</v>
      </c>
      <c r="B183" s="2">
        <v>2017</v>
      </c>
      <c r="C183" s="3">
        <v>970</v>
      </c>
      <c r="D183" s="2">
        <v>590667</v>
      </c>
      <c r="E183" s="2">
        <v>58168.800000000003</v>
      </c>
      <c r="F183" s="4">
        <f>geo_data[[#This Row],[gdp_value_rec]]/geo_data[[#This Row],[population_rec]]*100</f>
        <v>9.8479854131007833</v>
      </c>
      <c r="G183" s="4">
        <f>geo_data[[#This Row],[n]]/geo_data[[#This Row],[population_rec]]*100</f>
        <v>0.16422112628604613</v>
      </c>
      <c r="H183" s="4">
        <f>geo_data[[#This Row],[n]]/SUMIF(geo_data[year],geo_data[[#This Row],[year]],geo_data[n])*100</f>
        <v>0.18158401162137675</v>
      </c>
    </row>
    <row r="184" spans="1:8">
      <c r="A184" s="8" t="s">
        <v>32</v>
      </c>
      <c r="B184" s="2">
        <v>2018</v>
      </c>
      <c r="C184" s="3">
        <v>1047</v>
      </c>
      <c r="D184" s="2">
        <v>602005</v>
      </c>
      <c r="E184" s="2">
        <v>60193.4</v>
      </c>
      <c r="F184" s="4">
        <f>geo_data[[#This Row],[gdp_value_rec]]/geo_data[[#This Row],[population_rec]]*100</f>
        <v>9.9988206078022621</v>
      </c>
      <c r="G184" s="4">
        <f>geo_data[[#This Row],[n]]/geo_data[[#This Row],[population_rec]]*100</f>
        <v>0.17391882127224856</v>
      </c>
      <c r="H184" s="4">
        <f>geo_data[[#This Row],[n]]/SUMIF(geo_data[year],geo_data[[#This Row],[year]],geo_data[n])*100</f>
        <v>0.18127861154781114</v>
      </c>
    </row>
    <row r="185" spans="1:8">
      <c r="A185" s="8" t="s">
        <v>32</v>
      </c>
      <c r="B185" s="2">
        <v>2019</v>
      </c>
      <c r="C185" s="3">
        <v>968</v>
      </c>
      <c r="D185" s="2">
        <v>613894</v>
      </c>
      <c r="E185" s="2">
        <v>62415</v>
      </c>
      <c r="F185" s="4">
        <f>geo_data[[#This Row],[gdp_value_rec]]/geo_data[[#This Row],[population_rec]]*100</f>
        <v>10.167064672402727</v>
      </c>
      <c r="G185" s="4">
        <f>geo_data[[#This Row],[n]]/geo_data[[#This Row],[population_rec]]*100</f>
        <v>0.15768194509149788</v>
      </c>
      <c r="H185" s="4">
        <f>geo_data[[#This Row],[n]]/SUMIF(geo_data[year],geo_data[[#This Row],[year]],geo_data[n])*100</f>
        <v>0.15643711244240674</v>
      </c>
    </row>
    <row r="186" spans="1:8">
      <c r="A186" s="8" t="s">
        <v>32</v>
      </c>
      <c r="B186" s="2">
        <v>2020</v>
      </c>
      <c r="C186" s="3">
        <v>376</v>
      </c>
      <c r="D186" s="2">
        <v>626108</v>
      </c>
      <c r="E186" s="2">
        <v>64499.199999999997</v>
      </c>
      <c r="F186" s="4">
        <f>geo_data[[#This Row],[gdp_value_rec]]/geo_data[[#This Row],[population_rec]]*100</f>
        <v>10.301609307020513</v>
      </c>
      <c r="G186" s="4">
        <f>geo_data[[#This Row],[n]]/geo_data[[#This Row],[population_rec]]*100</f>
        <v>6.0053537089447821E-2</v>
      </c>
      <c r="H186" s="4">
        <f>geo_data[[#This Row],[n]]/SUMIF(geo_data[year],geo_data[[#This Row],[year]],geo_data[n])*100</f>
        <v>0.16145307769929365</v>
      </c>
    </row>
    <row r="187" spans="1:8">
      <c r="A187" s="8" t="s">
        <v>32</v>
      </c>
      <c r="B187" s="2">
        <v>2021</v>
      </c>
      <c r="C187" s="3">
        <v>452</v>
      </c>
      <c r="D187" s="2">
        <v>634730</v>
      </c>
      <c r="E187" s="2">
        <v>73039.5</v>
      </c>
      <c r="F187" s="4">
        <f>geo_data[[#This Row],[gdp_value_rec]]/geo_data[[#This Row],[population_rec]]*100</f>
        <v>11.507176279677973</v>
      </c>
      <c r="G187" s="4">
        <f>geo_data[[#This Row],[n]]/geo_data[[#This Row],[population_rec]]*100</f>
        <v>7.1211381217210462E-2</v>
      </c>
      <c r="H187" s="4">
        <f>geo_data[[#This Row],[n]]/SUMIF(geo_data[year],geo_data[[#This Row],[year]],geo_data[n])*100</f>
        <v>0.11611567381771382</v>
      </c>
    </row>
    <row r="188" spans="1:8">
      <c r="A188" s="8" t="s">
        <v>32</v>
      </c>
      <c r="B188" s="2">
        <v>2022</v>
      </c>
      <c r="C188" s="3">
        <v>964</v>
      </c>
      <c r="D188" s="2">
        <v>645397</v>
      </c>
      <c r="E188" s="2">
        <v>76731.199999999997</v>
      </c>
      <c r="F188" s="4">
        <f>geo_data[[#This Row],[gdp_value_rec]]/geo_data[[#This Row],[population_rec]]*100</f>
        <v>11.8889923566425</v>
      </c>
      <c r="G188" s="4">
        <f>geo_data[[#This Row],[n]]/geo_data[[#This Row],[population_rec]]*100</f>
        <v>0.14936542934039049</v>
      </c>
      <c r="H188" s="4">
        <f>geo_data[[#This Row],[n]]/SUMIF(geo_data[year],geo_data[[#This Row],[year]],geo_data[n])*100</f>
        <v>0.13692753919621831</v>
      </c>
    </row>
    <row r="189" spans="1:8">
      <c r="A189" s="8" t="s">
        <v>33</v>
      </c>
      <c r="B189" s="2">
        <v>2014</v>
      </c>
      <c r="C189" s="3">
        <v>1656</v>
      </c>
      <c r="D189" s="2">
        <v>2001468</v>
      </c>
      <c r="E189" s="2">
        <v>22790.5</v>
      </c>
      <c r="F189" s="4">
        <f>geo_data[[#This Row],[gdp_value_rec]]/geo_data[[#This Row],[population_rec]]*100</f>
        <v>1.1386892021256398</v>
      </c>
      <c r="G189" s="4">
        <f>geo_data[[#This Row],[n]]/geo_data[[#This Row],[population_rec]]*100</f>
        <v>8.2739269376277819E-2</v>
      </c>
      <c r="H189" s="4">
        <f>geo_data[[#This Row],[n]]/SUMIF(geo_data[year],geo_data[[#This Row],[year]],geo_data[n])*100</f>
        <v>0.8225301743406348</v>
      </c>
    </row>
    <row r="190" spans="1:8">
      <c r="A190" s="8" t="s">
        <v>33</v>
      </c>
      <c r="B190" s="2">
        <v>2015</v>
      </c>
      <c r="C190" s="3">
        <v>5469</v>
      </c>
      <c r="D190" s="2">
        <v>1986096</v>
      </c>
      <c r="E190" s="2">
        <v>23744.3</v>
      </c>
      <c r="F190" s="4">
        <f>geo_data[[#This Row],[gdp_value_rec]]/geo_data[[#This Row],[population_rec]]*100</f>
        <v>1.1955262988294624</v>
      </c>
      <c r="G190" s="4">
        <f>geo_data[[#This Row],[n]]/geo_data[[#This Row],[population_rec]]*100</f>
        <v>0.27536433284191697</v>
      </c>
      <c r="H190" s="4">
        <f>geo_data[[#This Row],[n]]/SUMIF(geo_data[year],geo_data[[#This Row],[year]],geo_data[n])*100</f>
        <v>1.1949292524973563</v>
      </c>
    </row>
    <row r="191" spans="1:8">
      <c r="A191" s="8" t="s">
        <v>33</v>
      </c>
      <c r="B191" s="2">
        <v>2016</v>
      </c>
      <c r="C191" s="3">
        <v>4776</v>
      </c>
      <c r="D191" s="2">
        <v>1968957</v>
      </c>
      <c r="E191" s="2">
        <v>24498.2</v>
      </c>
      <c r="F191" s="4">
        <f>geo_data[[#This Row],[gdp_value_rec]]/geo_data[[#This Row],[population_rec]]*100</f>
        <v>1.2442221947965344</v>
      </c>
      <c r="G191" s="4">
        <f>geo_data[[#This Row],[n]]/geo_data[[#This Row],[population_rec]]*100</f>
        <v>0.24256497221625462</v>
      </c>
      <c r="H191" s="4">
        <f>geo_data[[#This Row],[n]]/SUMIF(geo_data[year],geo_data[[#This Row],[year]],geo_data[n])*100</f>
        <v>0.95147023667224473</v>
      </c>
    </row>
    <row r="192" spans="1:8">
      <c r="A192" s="8" t="s">
        <v>33</v>
      </c>
      <c r="B192" s="2">
        <v>2017</v>
      </c>
      <c r="C192" s="3">
        <v>5328</v>
      </c>
      <c r="D192" s="2">
        <v>1950116</v>
      </c>
      <c r="E192" s="2">
        <v>26017.1</v>
      </c>
      <c r="F192" s="4">
        <f>geo_data[[#This Row],[gdp_value_rec]]/geo_data[[#This Row],[population_rec]]*100</f>
        <v>1.3341308927263813</v>
      </c>
      <c r="G192" s="4">
        <f>geo_data[[#This Row],[n]]/geo_data[[#This Row],[population_rec]]*100</f>
        <v>0.27321451646978945</v>
      </c>
      <c r="H192" s="4">
        <f>geo_data[[#This Row],[n]]/SUMIF(geo_data[year],geo_data[[#This Row],[year]],geo_data[n])*100</f>
        <v>0.99740166383370643</v>
      </c>
    </row>
    <row r="193" spans="1:8">
      <c r="A193" s="8" t="s">
        <v>33</v>
      </c>
      <c r="B193" s="2">
        <v>2018</v>
      </c>
      <c r="C193" s="3">
        <v>5933</v>
      </c>
      <c r="D193" s="2">
        <v>1934379</v>
      </c>
      <c r="E193" s="2">
        <v>28153.4</v>
      </c>
      <c r="F193" s="4">
        <f>geo_data[[#This Row],[gdp_value_rec]]/geo_data[[#This Row],[population_rec]]*100</f>
        <v>1.4554231616451585</v>
      </c>
      <c r="G193" s="4">
        <f>geo_data[[#This Row],[n]]/geo_data[[#This Row],[population_rec]]*100</f>
        <v>0.30671342068953394</v>
      </c>
      <c r="H193" s="4">
        <f>geo_data[[#This Row],[n]]/SUMIF(geo_data[year],geo_data[[#This Row],[year]],geo_data[n])*100</f>
        <v>1.0272454654375964</v>
      </c>
    </row>
    <row r="194" spans="1:8">
      <c r="A194" s="8" t="s">
        <v>33</v>
      </c>
      <c r="B194" s="2">
        <v>2019</v>
      </c>
      <c r="C194" s="3">
        <v>6882</v>
      </c>
      <c r="D194" s="2">
        <v>1919968</v>
      </c>
      <c r="E194" s="2">
        <v>29567</v>
      </c>
      <c r="F194" s="4">
        <f>geo_data[[#This Row],[gdp_value_rec]]/geo_data[[#This Row],[population_rec]]*100</f>
        <v>1.5399735828930483</v>
      </c>
      <c r="G194" s="4">
        <f>geo_data[[#This Row],[n]]/geo_data[[#This Row],[population_rec]]*100</f>
        <v>0.35844347405790095</v>
      </c>
      <c r="H194" s="4">
        <f>geo_data[[#This Row],[n]]/SUMIF(geo_data[year],geo_data[[#This Row],[year]],geo_data[n])*100</f>
        <v>1.1121902973436397</v>
      </c>
    </row>
    <row r="195" spans="1:8">
      <c r="A195" s="8" t="s">
        <v>33</v>
      </c>
      <c r="B195" s="2">
        <v>2020</v>
      </c>
      <c r="C195" s="3">
        <v>2517</v>
      </c>
      <c r="D195" s="2">
        <v>1907675</v>
      </c>
      <c r="E195" s="2">
        <v>29224.3</v>
      </c>
      <c r="F195" s="4">
        <f>geo_data[[#This Row],[gdp_value_rec]]/geo_data[[#This Row],[population_rec]]*100</f>
        <v>1.5319328501972296</v>
      </c>
      <c r="G195" s="4">
        <f>geo_data[[#This Row],[n]]/geo_data[[#This Row],[population_rec]]*100</f>
        <v>0.1319407131717929</v>
      </c>
      <c r="H195" s="4">
        <f>geo_data[[#This Row],[n]]/SUMIF(geo_data[year],geo_data[[#This Row],[year]],geo_data[n])*100</f>
        <v>1.0807909483221332</v>
      </c>
    </row>
    <row r="196" spans="1:8">
      <c r="A196" s="8" t="s">
        <v>33</v>
      </c>
      <c r="B196" s="2">
        <v>2021</v>
      </c>
      <c r="C196" s="3">
        <v>4482</v>
      </c>
      <c r="D196" s="2">
        <v>1893223</v>
      </c>
      <c r="E196" s="2">
        <v>32283.8</v>
      </c>
      <c r="F196" s="4">
        <f>geo_data[[#This Row],[gdp_value_rec]]/geo_data[[#This Row],[population_rec]]*100</f>
        <v>1.7052296533477567</v>
      </c>
      <c r="G196" s="4">
        <f>geo_data[[#This Row],[n]]/geo_data[[#This Row],[population_rec]]*100</f>
        <v>0.23673914800316712</v>
      </c>
      <c r="H196" s="4">
        <f>geo_data[[#This Row],[n]]/SUMIF(geo_data[year],geo_data[[#This Row],[year]],geo_data[n])*100</f>
        <v>1.1513948009977726</v>
      </c>
    </row>
    <row r="197" spans="1:8">
      <c r="A197" s="8" t="s">
        <v>33</v>
      </c>
      <c r="B197" s="2">
        <v>2022</v>
      </c>
      <c r="C197" s="3">
        <v>8578</v>
      </c>
      <c r="D197" s="2">
        <v>1875757</v>
      </c>
      <c r="E197" s="2">
        <v>36088.699999999997</v>
      </c>
      <c r="F197" s="4">
        <f>geo_data[[#This Row],[gdp_value_rec]]/geo_data[[#This Row],[population_rec]]*100</f>
        <v>1.9239539023444934</v>
      </c>
      <c r="G197" s="4">
        <f>geo_data[[#This Row],[n]]/geo_data[[#This Row],[population_rec]]*100</f>
        <v>0.45730870256648382</v>
      </c>
      <c r="H197" s="4">
        <f>geo_data[[#This Row],[n]]/SUMIF(geo_data[year],geo_data[[#This Row],[year]],geo_data[n])*100</f>
        <v>1.2184278332211209</v>
      </c>
    </row>
    <row r="198" spans="1:8">
      <c r="A198" s="8" t="s">
        <v>34</v>
      </c>
      <c r="B198" s="2">
        <v>2014</v>
      </c>
      <c r="C198" s="3">
        <v>150</v>
      </c>
      <c r="D198" s="2">
        <v>3557634</v>
      </c>
      <c r="E198" s="2">
        <v>7082.6</v>
      </c>
      <c r="F198" s="4">
        <f>geo_data[[#This Row],[gdp_value_rec]]/geo_data[[#This Row],[population_rec]]*100</f>
        <v>0.19908174927493949</v>
      </c>
      <c r="G198" s="4">
        <f>geo_data[[#This Row],[n]]/geo_data[[#This Row],[population_rec]]*100</f>
        <v>4.2162853177139638E-3</v>
      </c>
      <c r="H198" s="4">
        <f>geo_data[[#This Row],[n]]/SUMIF(geo_data[year],geo_data[[#This Row],[year]],geo_data[n])*100</f>
        <v>7.450454477723141E-2</v>
      </c>
    </row>
    <row r="199" spans="1:8">
      <c r="A199" s="8" t="s">
        <v>34</v>
      </c>
      <c r="B199" s="2">
        <v>2015</v>
      </c>
      <c r="C199" s="3">
        <v>590</v>
      </c>
      <c r="D199" s="2">
        <v>2869302</v>
      </c>
      <c r="E199" s="2">
        <v>7025</v>
      </c>
      <c r="F199" s="4">
        <f>geo_data[[#This Row],[gdp_value_rec]]/geo_data[[#This Row],[population_rec]]*100</f>
        <v>0.24483306392983381</v>
      </c>
      <c r="G199" s="4">
        <f>geo_data[[#This Row],[n]]/geo_data[[#This Row],[population_rec]]*100</f>
        <v>2.0562492201936219E-2</v>
      </c>
      <c r="H199" s="4">
        <f>geo_data[[#This Row],[n]]/SUMIF(geo_data[year],geo_data[[#This Row],[year]],geo_data[n])*100</f>
        <v>0.12890990290243926</v>
      </c>
    </row>
    <row r="200" spans="1:8">
      <c r="A200" s="8" t="s">
        <v>34</v>
      </c>
      <c r="B200" s="2">
        <v>2016</v>
      </c>
      <c r="C200" s="3">
        <v>479</v>
      </c>
      <c r="D200" s="2">
        <v>2846327</v>
      </c>
      <c r="E200" s="2">
        <v>7210.8</v>
      </c>
      <c r="F200" s="4">
        <f>geo_data[[#This Row],[gdp_value_rec]]/geo_data[[#This Row],[population_rec]]*100</f>
        <v>0.25333701995589408</v>
      </c>
      <c r="G200" s="4">
        <f>geo_data[[#This Row],[n]]/geo_data[[#This Row],[population_rec]]*100</f>
        <v>1.6828705907648699E-2</v>
      </c>
      <c r="H200" s="4">
        <f>geo_data[[#This Row],[n]]/SUMIF(geo_data[year],geo_data[[#This Row],[year]],geo_data[n])*100</f>
        <v>9.5425930353016178E-2</v>
      </c>
    </row>
    <row r="201" spans="1:8">
      <c r="A201" s="8" t="s">
        <v>34</v>
      </c>
      <c r="B201" s="2">
        <v>2017</v>
      </c>
      <c r="C201" s="3">
        <v>604</v>
      </c>
      <c r="D201" s="2">
        <v>2825628</v>
      </c>
      <c r="E201" s="2">
        <v>8450.2999999999993</v>
      </c>
      <c r="F201" s="4">
        <f>geo_data[[#This Row],[gdp_value_rec]]/geo_data[[#This Row],[population_rec]]*100</f>
        <v>0.29905918259586894</v>
      </c>
      <c r="G201" s="4">
        <f>geo_data[[#This Row],[n]]/geo_data[[#This Row],[population_rec]]*100</f>
        <v>2.1375779118836591E-2</v>
      </c>
      <c r="H201" s="4">
        <f>geo_data[[#This Row],[n]]/SUMIF(geo_data[year],geo_data[[#This Row],[year]],geo_data[n])*100</f>
        <v>0.11306880723640365</v>
      </c>
    </row>
    <row r="202" spans="1:8">
      <c r="A202" s="8" t="s">
        <v>34</v>
      </c>
      <c r="B202" s="2">
        <v>2018</v>
      </c>
      <c r="C202" s="3">
        <v>668</v>
      </c>
      <c r="D202" s="2">
        <v>2780744</v>
      </c>
      <c r="E202" s="2">
        <v>9526.5</v>
      </c>
      <c r="F202" s="4">
        <f>geo_data[[#This Row],[gdp_value_rec]]/geo_data[[#This Row],[population_rec]]*100</f>
        <v>0.34258817064785541</v>
      </c>
      <c r="G202" s="4">
        <f>geo_data[[#This Row],[n]]/geo_data[[#This Row],[population_rec]]*100</f>
        <v>2.4022347975937376E-2</v>
      </c>
      <c r="H202" s="4">
        <f>geo_data[[#This Row],[n]]/SUMIF(geo_data[year],geo_data[[#This Row],[year]],geo_data[n])*100</f>
        <v>0.11565817814129689</v>
      </c>
    </row>
    <row r="203" spans="1:8">
      <c r="A203" s="8" t="s">
        <v>34</v>
      </c>
      <c r="B203" s="2">
        <v>2019</v>
      </c>
      <c r="C203" s="3">
        <v>728</v>
      </c>
      <c r="D203" s="2">
        <v>2729634</v>
      </c>
      <c r="E203" s="2">
        <v>10484.4</v>
      </c>
      <c r="F203" s="4">
        <f>geo_data[[#This Row],[gdp_value_rec]]/geo_data[[#This Row],[population_rec]]*100</f>
        <v>0.38409545015925212</v>
      </c>
      <c r="G203" s="4">
        <f>geo_data[[#This Row],[n]]/geo_data[[#This Row],[population_rec]]*100</f>
        <v>2.6670242237604013E-2</v>
      </c>
      <c r="H203" s="4">
        <f>geo_data[[#This Row],[n]]/SUMIF(geo_data[year],geo_data[[#This Row],[year]],geo_data[n])*100</f>
        <v>0.11765105150627284</v>
      </c>
    </row>
    <row r="204" spans="1:8">
      <c r="A204" s="8" t="s">
        <v>34</v>
      </c>
      <c r="B204" s="2">
        <v>2020</v>
      </c>
      <c r="C204" s="3">
        <v>201</v>
      </c>
      <c r="D204" s="2">
        <v>2684772</v>
      </c>
      <c r="E204" s="2">
        <v>10112.5</v>
      </c>
      <c r="F204" s="4">
        <f>geo_data[[#This Row],[gdp_value_rec]]/geo_data[[#This Row],[population_rec]]*100</f>
        <v>0.37666140737462994</v>
      </c>
      <c r="G204" s="4">
        <f>geo_data[[#This Row],[n]]/geo_data[[#This Row],[population_rec]]*100</f>
        <v>7.4866692590655733E-3</v>
      </c>
      <c r="H204" s="4">
        <f>geo_data[[#This Row],[n]]/SUMIF(geo_data[year],geo_data[[#This Row],[year]],geo_data[n])*100</f>
        <v>8.6308693131803241E-2</v>
      </c>
    </row>
    <row r="205" spans="1:8">
      <c r="A205" s="8" t="s">
        <v>34</v>
      </c>
      <c r="B205" s="2">
        <v>2021</v>
      </c>
      <c r="C205" s="3">
        <v>475</v>
      </c>
      <c r="D205" s="2">
        <v>2643675</v>
      </c>
      <c r="E205" s="2">
        <v>11570.8</v>
      </c>
      <c r="F205" s="4">
        <f>geo_data[[#This Row],[gdp_value_rec]]/geo_data[[#This Row],[population_rec]]*100</f>
        <v>0.4376786102679035</v>
      </c>
      <c r="G205" s="4">
        <f>geo_data[[#This Row],[n]]/geo_data[[#This Row],[population_rec]]*100</f>
        <v>1.7967412787123986E-2</v>
      </c>
      <c r="H205" s="4">
        <f>geo_data[[#This Row],[n]]/SUMIF(geo_data[year],geo_data[[#This Row],[year]],geo_data[n])*100</f>
        <v>0.1220242147420665</v>
      </c>
    </row>
    <row r="206" spans="1:8">
      <c r="A206" s="8" t="s">
        <v>34</v>
      </c>
      <c r="B206" s="2">
        <v>2022</v>
      </c>
      <c r="C206" s="3">
        <v>865</v>
      </c>
      <c r="D206" s="2">
        <v>2565030</v>
      </c>
      <c r="E206" s="2">
        <v>13793.6</v>
      </c>
      <c r="F206" s="4">
        <f>geo_data[[#This Row],[gdp_value_rec]]/geo_data[[#This Row],[population_rec]]*100</f>
        <v>0.53775589369325116</v>
      </c>
      <c r="G206" s="4">
        <f>geo_data[[#This Row],[n]]/geo_data[[#This Row],[population_rec]]*100</f>
        <v>3.372280246234937E-2</v>
      </c>
      <c r="H206" s="4">
        <f>geo_data[[#This Row],[n]]/SUMIF(geo_data[year],geo_data[[#This Row],[year]],geo_data[n])*100</f>
        <v>0.12286547863561083</v>
      </c>
    </row>
    <row r="207" spans="1:8">
      <c r="A207" s="8" t="s">
        <v>35</v>
      </c>
      <c r="B207" s="2">
        <v>2014</v>
      </c>
      <c r="C207" s="3">
        <v>58</v>
      </c>
      <c r="D207" s="2">
        <v>621521</v>
      </c>
      <c r="E207" s="2">
        <v>3447.2</v>
      </c>
      <c r="F207" s="4">
        <f>geo_data[[#This Row],[gdp_value_rec]]/geo_data[[#This Row],[population_rec]]*100</f>
        <v>0.55463934444692942</v>
      </c>
      <c r="G207" s="4">
        <f>geo_data[[#This Row],[n]]/geo_data[[#This Row],[population_rec]]*100</f>
        <v>9.3319453405436015E-3</v>
      </c>
      <c r="H207" s="4">
        <f>geo_data[[#This Row],[n]]/SUMIF(geo_data[year],geo_data[[#This Row],[year]],geo_data[n])*100</f>
        <v>2.880842398052948E-2</v>
      </c>
    </row>
    <row r="208" spans="1:8">
      <c r="A208" s="8" t="s">
        <v>35</v>
      </c>
      <c r="B208" s="2">
        <v>2015</v>
      </c>
      <c r="C208" s="3">
        <v>248</v>
      </c>
      <c r="D208" s="2">
        <v>622099</v>
      </c>
      <c r="E208" s="2">
        <v>3615</v>
      </c>
      <c r="F208" s="4">
        <f>geo_data[[#This Row],[gdp_value_rec]]/geo_data[[#This Row],[population_rec]]*100</f>
        <v>0.58109722086034543</v>
      </c>
      <c r="G208" s="4">
        <f>geo_data[[#This Row],[n]]/geo_data[[#This Row],[population_rec]]*100</f>
        <v>3.9865037558330749E-2</v>
      </c>
      <c r="H208" s="4">
        <f>geo_data[[#This Row],[n]]/SUMIF(geo_data[year],geo_data[[#This Row],[year]],geo_data[n])*100</f>
        <v>5.4185857491194797E-2</v>
      </c>
    </row>
    <row r="209" spans="1:8">
      <c r="A209" s="8" t="s">
        <v>35</v>
      </c>
      <c r="B209" s="2">
        <v>2016</v>
      </c>
      <c r="C209" s="3">
        <v>220</v>
      </c>
      <c r="D209" s="2">
        <v>622218</v>
      </c>
      <c r="E209" s="2">
        <v>3936.6</v>
      </c>
      <c r="F209" s="4">
        <f>geo_data[[#This Row],[gdp_value_rec]]/geo_data[[#This Row],[population_rec]]*100</f>
        <v>0.63267215027530543</v>
      </c>
      <c r="G209" s="4">
        <f>geo_data[[#This Row],[n]]/geo_data[[#This Row],[population_rec]]*100</f>
        <v>3.5357382782240307E-2</v>
      </c>
      <c r="H209" s="4">
        <f>geo_data[[#This Row],[n]]/SUMIF(geo_data[year],geo_data[[#This Row],[year]],geo_data[n])*100</f>
        <v>4.3828193481552313E-2</v>
      </c>
    </row>
    <row r="210" spans="1:8">
      <c r="A210" s="8" t="s">
        <v>35</v>
      </c>
      <c r="B210" s="2">
        <v>2017</v>
      </c>
      <c r="C210" s="3">
        <v>378</v>
      </c>
      <c r="D210" s="2">
        <v>622387</v>
      </c>
      <c r="E210" s="2">
        <v>4252.5</v>
      </c>
      <c r="F210" s="4">
        <f>geo_data[[#This Row],[gdp_value_rec]]/geo_data[[#This Row],[population_rec]]*100</f>
        <v>0.68325655902195903</v>
      </c>
      <c r="G210" s="4">
        <f>geo_data[[#This Row],[n]]/geo_data[[#This Row],[population_rec]]*100</f>
        <v>6.0733916357507467E-2</v>
      </c>
      <c r="H210" s="4">
        <f>geo_data[[#This Row],[n]]/SUMIF(geo_data[year],geo_data[[#This Row],[year]],geo_data[n])*100</f>
        <v>7.0761604528742694E-2</v>
      </c>
    </row>
    <row r="211" spans="1:8">
      <c r="A211" s="8" t="s">
        <v>35</v>
      </c>
      <c r="B211" s="2">
        <v>2018</v>
      </c>
      <c r="C211" s="3">
        <v>359</v>
      </c>
      <c r="D211" s="2">
        <v>622359</v>
      </c>
      <c r="E211" s="2">
        <v>4600.8999999999996</v>
      </c>
      <c r="F211" s="4">
        <f>geo_data[[#This Row],[gdp_value_rec]]/geo_data[[#This Row],[population_rec]]*100</f>
        <v>0.73926785022792296</v>
      </c>
      <c r="G211" s="4">
        <f>geo_data[[#This Row],[n]]/geo_data[[#This Row],[population_rec]]*100</f>
        <v>5.7683748447439502E-2</v>
      </c>
      <c r="H211" s="4">
        <f>geo_data[[#This Row],[n]]/SUMIF(geo_data[year],geo_data[[#This Row],[year]],geo_data[n])*100</f>
        <v>6.2157613701685009E-2</v>
      </c>
    </row>
    <row r="212" spans="1:8">
      <c r="A212" s="8" t="s">
        <v>35</v>
      </c>
      <c r="B212" s="2">
        <v>2019</v>
      </c>
      <c r="C212" s="3">
        <v>344</v>
      </c>
      <c r="D212" s="2">
        <v>622182</v>
      </c>
      <c r="E212" s="2">
        <v>4898.3999999999996</v>
      </c>
      <c r="F212" s="4">
        <f>geo_data[[#This Row],[gdp_value_rec]]/geo_data[[#This Row],[population_rec]]*100</f>
        <v>0.78729375006027169</v>
      </c>
      <c r="G212" s="4">
        <f>geo_data[[#This Row],[n]]/geo_data[[#This Row],[population_rec]]*100</f>
        <v>5.5289288343282193E-2</v>
      </c>
      <c r="H212" s="4">
        <f>geo_data[[#This Row],[n]]/SUMIF(geo_data[year],geo_data[[#This Row],[year]],geo_data[n])*100</f>
        <v>5.5593354008458599E-2</v>
      </c>
    </row>
    <row r="213" spans="1:8">
      <c r="A213" s="8" t="s">
        <v>35</v>
      </c>
      <c r="B213" s="2">
        <v>2020</v>
      </c>
      <c r="C213" s="3">
        <v>137</v>
      </c>
      <c r="D213" s="2">
        <v>621873</v>
      </c>
      <c r="E213" s="2">
        <v>4144.8</v>
      </c>
      <c r="F213" s="4">
        <f>geo_data[[#This Row],[gdp_value_rec]]/geo_data[[#This Row],[population_rec]]*100</f>
        <v>0.66650264603866061</v>
      </c>
      <c r="G213" s="4">
        <f>geo_data[[#This Row],[n]]/geo_data[[#This Row],[population_rec]]*100</f>
        <v>2.2030221604732801E-2</v>
      </c>
      <c r="H213" s="4">
        <f>geo_data[[#This Row],[n]]/SUMIF(geo_data[year],geo_data[[#This Row],[year]],geo_data[n])*100</f>
        <v>5.8827318204263901E-2</v>
      </c>
    </row>
    <row r="214" spans="1:8">
      <c r="A214" s="8" t="s">
        <v>35</v>
      </c>
      <c r="B214" s="2">
        <v>2021</v>
      </c>
      <c r="C214" s="3">
        <v>316</v>
      </c>
      <c r="D214" s="2">
        <v>620739</v>
      </c>
      <c r="E214" s="2">
        <v>4923.2</v>
      </c>
      <c r="F214" s="4">
        <f>geo_data[[#This Row],[gdp_value_rec]]/geo_data[[#This Row],[population_rec]]*100</f>
        <v>0.79311916924826686</v>
      </c>
      <c r="G214" s="4">
        <f>geo_data[[#This Row],[n]]/geo_data[[#This Row],[population_rec]]*100</f>
        <v>5.0907063999523154E-2</v>
      </c>
      <c r="H214" s="4">
        <f>geo_data[[#This Row],[n]]/SUMIF(geo_data[year],geo_data[[#This Row],[year]],geo_data[n])*100</f>
        <v>8.1178214438932667E-2</v>
      </c>
    </row>
    <row r="215" spans="1:8">
      <c r="A215" s="8" t="s">
        <v>35</v>
      </c>
      <c r="B215" s="2">
        <v>2022</v>
      </c>
      <c r="C215" s="3">
        <v>598</v>
      </c>
      <c r="D215" s="2">
        <v>617683</v>
      </c>
      <c r="E215" s="2">
        <v>5944.4</v>
      </c>
      <c r="F215" s="4">
        <f>geo_data[[#This Row],[gdp_value_rec]]/geo_data[[#This Row],[population_rec]]*100</f>
        <v>0.9623706658593485</v>
      </c>
      <c r="G215" s="4">
        <f>geo_data[[#This Row],[n]]/geo_data[[#This Row],[population_rec]]*100</f>
        <v>9.6813414000385303E-2</v>
      </c>
      <c r="H215" s="4">
        <f>geo_data[[#This Row],[n]]/SUMIF(geo_data[year],geo_data[[#This Row],[year]],geo_data[n])*100</f>
        <v>8.4940527426699733E-2</v>
      </c>
    </row>
    <row r="216" spans="1:8">
      <c r="A216" s="8" t="s">
        <v>36</v>
      </c>
      <c r="B216" s="2">
        <v>2014</v>
      </c>
      <c r="C216" s="3">
        <v>726</v>
      </c>
      <c r="D216" s="2">
        <v>2065769</v>
      </c>
      <c r="E216" s="2">
        <v>8562</v>
      </c>
      <c r="F216" s="4">
        <f>geo_data[[#This Row],[gdp_value_rec]]/geo_data[[#This Row],[population_rec]]*100</f>
        <v>0.41447034978257491</v>
      </c>
      <c r="G216" s="4">
        <f>geo_data[[#This Row],[n]]/geo_data[[#This Row],[population_rec]]*100</f>
        <v>3.5144297353673137E-2</v>
      </c>
      <c r="H216" s="4">
        <f>geo_data[[#This Row],[n]]/SUMIF(geo_data[year],geo_data[[#This Row],[year]],geo_data[n])*100</f>
        <v>0.36060199672180004</v>
      </c>
    </row>
    <row r="217" spans="1:8">
      <c r="A217" s="8" t="s">
        <v>36</v>
      </c>
      <c r="B217" s="2">
        <v>2015</v>
      </c>
      <c r="C217" s="3">
        <v>2333</v>
      </c>
      <c r="D217" s="2">
        <v>2069172</v>
      </c>
      <c r="E217" s="2">
        <v>9072.2999999999993</v>
      </c>
      <c r="F217" s="4">
        <f>geo_data[[#This Row],[gdp_value_rec]]/geo_data[[#This Row],[population_rec]]*100</f>
        <v>0.4384507426158869</v>
      </c>
      <c r="G217" s="4">
        <f>geo_data[[#This Row],[n]]/geo_data[[#This Row],[population_rec]]*100</f>
        <v>0.11275041417533196</v>
      </c>
      <c r="H217" s="4">
        <f>geo_data[[#This Row],[n]]/SUMIF(geo_data[year],geo_data[[#This Row],[year]],geo_data[n])*100</f>
        <v>0.50974034486676401</v>
      </c>
    </row>
    <row r="218" spans="1:8">
      <c r="A218" s="8" t="s">
        <v>36</v>
      </c>
      <c r="B218" s="2">
        <v>2016</v>
      </c>
      <c r="C218" s="3">
        <v>2275</v>
      </c>
      <c r="D218" s="2">
        <v>2071278</v>
      </c>
      <c r="E218" s="2">
        <v>9656.5</v>
      </c>
      <c r="F218" s="4">
        <f>geo_data[[#This Row],[gdp_value_rec]]/geo_data[[#This Row],[population_rec]]*100</f>
        <v>0.46620975069498161</v>
      </c>
      <c r="G218" s="4">
        <f>geo_data[[#This Row],[n]]/geo_data[[#This Row],[population_rec]]*100</f>
        <v>0.109835570116614</v>
      </c>
      <c r="H218" s="4">
        <f>geo_data[[#This Row],[n]]/SUMIF(geo_data[year],geo_data[[#This Row],[year]],geo_data[n])*100</f>
        <v>0.45322336441150685</v>
      </c>
    </row>
    <row r="219" spans="1:8">
      <c r="A219" s="8" t="s">
        <v>36</v>
      </c>
      <c r="B219" s="2">
        <v>2017</v>
      </c>
      <c r="C219" s="3">
        <v>2545</v>
      </c>
      <c r="D219" s="2">
        <v>2073702</v>
      </c>
      <c r="E219" s="2">
        <v>10038.299999999999</v>
      </c>
      <c r="F219" s="4">
        <f>geo_data[[#This Row],[gdp_value_rec]]/geo_data[[#This Row],[population_rec]]*100</f>
        <v>0.48407630411698493</v>
      </c>
      <c r="G219" s="4">
        <f>geo_data[[#This Row],[n]]/geo_data[[#This Row],[population_rec]]*100</f>
        <v>0.12272737355704917</v>
      </c>
      <c r="H219" s="4">
        <f>geo_data[[#This Row],[n]]/SUMIF(geo_data[year],geo_data[[#This Row],[year]],geo_data[n])*100</f>
        <v>0.47642403049113796</v>
      </c>
    </row>
    <row r="220" spans="1:8">
      <c r="A220" s="8" t="s">
        <v>36</v>
      </c>
      <c r="B220" s="2">
        <v>2018</v>
      </c>
      <c r="C220" s="3">
        <v>3018</v>
      </c>
      <c r="D220" s="2">
        <v>2075301</v>
      </c>
      <c r="E220" s="2">
        <v>10744</v>
      </c>
      <c r="F220" s="4">
        <f>geo_data[[#This Row],[gdp_value_rec]]/geo_data[[#This Row],[population_rec]]*100</f>
        <v>0.51770803367800622</v>
      </c>
      <c r="G220" s="4">
        <f>geo_data[[#This Row],[n]]/geo_data[[#This Row],[population_rec]]*100</f>
        <v>0.14542468779227688</v>
      </c>
      <c r="H220" s="4">
        <f>geo_data[[#This Row],[n]]/SUMIF(geo_data[year],geo_data[[#This Row],[year]],geo_data[n])*100</f>
        <v>0.52253949345873363</v>
      </c>
    </row>
    <row r="221" spans="1:8">
      <c r="A221" s="8" t="s">
        <v>36</v>
      </c>
      <c r="B221" s="2">
        <v>2019</v>
      </c>
      <c r="C221" s="3">
        <v>3351</v>
      </c>
      <c r="D221" s="2">
        <v>2077132</v>
      </c>
      <c r="E221" s="2">
        <v>11262</v>
      </c>
      <c r="F221" s="4">
        <f>geo_data[[#This Row],[gdp_value_rec]]/geo_data[[#This Row],[population_rec]]*100</f>
        <v>0.54218990415630786</v>
      </c>
      <c r="G221" s="4">
        <f>geo_data[[#This Row],[n]]/geo_data[[#This Row],[population_rec]]*100</f>
        <v>0.16132821602093658</v>
      </c>
      <c r="H221" s="4">
        <f>geo_data[[#This Row],[n]]/SUMIF(geo_data[year],geo_data[[#This Row],[year]],geo_data[n])*100</f>
        <v>0.54155037582076959</v>
      </c>
    </row>
    <row r="222" spans="1:8">
      <c r="A222" s="8" t="s">
        <v>36</v>
      </c>
      <c r="B222" s="2">
        <v>2020</v>
      </c>
      <c r="C222" s="3">
        <v>885</v>
      </c>
      <c r="D222" s="2">
        <v>2076255</v>
      </c>
      <c r="E222" s="2">
        <v>10851.7</v>
      </c>
      <c r="F222" s="4">
        <f>geo_data[[#This Row],[gdp_value_rec]]/geo_data[[#This Row],[population_rec]]*100</f>
        <v>0.52265738071672319</v>
      </c>
      <c r="G222" s="4">
        <f>geo_data[[#This Row],[n]]/geo_data[[#This Row],[population_rec]]*100</f>
        <v>4.2624822095551851E-2</v>
      </c>
      <c r="H222" s="4">
        <f>geo_data[[#This Row],[n]]/SUMIF(geo_data[year],geo_data[[#This Row],[year]],geo_data[n])*100</f>
        <v>0.38001588766987998</v>
      </c>
    </row>
    <row r="223" spans="1:8">
      <c r="A223" s="8" t="s">
        <v>36</v>
      </c>
      <c r="B223" s="2">
        <v>2021</v>
      </c>
      <c r="C223" s="3">
        <v>2644</v>
      </c>
      <c r="D223" s="2">
        <v>2068808</v>
      </c>
      <c r="E223" s="2">
        <v>11834.7</v>
      </c>
      <c r="F223" s="4">
        <f>geo_data[[#This Row],[gdp_value_rec]]/geo_data[[#This Row],[population_rec]]*100</f>
        <v>0.57205405238185469</v>
      </c>
      <c r="G223" s="4">
        <f>geo_data[[#This Row],[n]]/geo_data[[#This Row],[population_rec]]*100</f>
        <v>0.12780306340656067</v>
      </c>
      <c r="H223" s="4">
        <f>geo_data[[#This Row],[n]]/SUMIF(geo_data[year],geo_data[[#This Row],[year]],geo_data[n])*100</f>
        <v>0.67922531321689228</v>
      </c>
    </row>
    <row r="224" spans="1:8">
      <c r="A224" s="8" t="s">
        <v>36</v>
      </c>
      <c r="B224" s="2">
        <v>2022</v>
      </c>
      <c r="C224" s="3">
        <v>5034</v>
      </c>
      <c r="D224" s="2">
        <v>1837114</v>
      </c>
      <c r="E224" s="2">
        <v>13243.2</v>
      </c>
      <c r="F224" s="4">
        <f>geo_data[[#This Row],[gdp_value_rec]]/geo_data[[#This Row],[population_rec]]*100</f>
        <v>0.72086979904349979</v>
      </c>
      <c r="G224" s="4">
        <f>geo_data[[#This Row],[n]]/geo_data[[#This Row],[population_rec]]*100</f>
        <v>0.2740167458306888</v>
      </c>
      <c r="H224" s="4">
        <f>geo_data[[#This Row],[n]]/SUMIF(geo_data[year],geo_data[[#This Row],[year]],geo_data[n])*100</f>
        <v>0.71503447335452586</v>
      </c>
    </row>
    <row r="225" spans="1:8">
      <c r="A225" s="8" t="s">
        <v>37</v>
      </c>
      <c r="B225" s="2">
        <v>2014</v>
      </c>
      <c r="C225" s="3">
        <v>451</v>
      </c>
      <c r="D225" s="2">
        <v>428156</v>
      </c>
      <c r="E225" s="2">
        <v>8948.5</v>
      </c>
      <c r="F225" s="4">
        <f>geo_data[[#This Row],[gdp_value_rec]]/geo_data[[#This Row],[population_rec]]*100</f>
        <v>2.0900092489653304</v>
      </c>
      <c r="G225" s="4">
        <f>geo_data[[#This Row],[n]]/geo_data[[#This Row],[population_rec]]*100</f>
        <v>0.10533543848503817</v>
      </c>
      <c r="H225" s="4">
        <f>geo_data[[#This Row],[n]]/SUMIF(geo_data[year],geo_data[[#This Row],[year]],geo_data[n])*100</f>
        <v>0.22401033129687578</v>
      </c>
    </row>
    <row r="226" spans="1:8">
      <c r="A226" s="8" t="s">
        <v>37</v>
      </c>
      <c r="B226" s="2">
        <v>2015</v>
      </c>
      <c r="C226" s="3">
        <v>1340</v>
      </c>
      <c r="D226" s="2">
        <v>438805</v>
      </c>
      <c r="E226" s="2">
        <v>10221.4</v>
      </c>
      <c r="F226" s="4">
        <f>geo_data[[#This Row],[gdp_value_rec]]/geo_data[[#This Row],[population_rec]]*100</f>
        <v>2.3293718166383699</v>
      </c>
      <c r="G226" s="4">
        <f>geo_data[[#This Row],[n]]/geo_data[[#This Row],[population_rec]]*100</f>
        <v>0.30537482480828615</v>
      </c>
      <c r="H226" s="4">
        <f>geo_data[[#This Row],[n]]/SUMIF(geo_data[year],geo_data[[#This Row],[year]],geo_data[n])*100</f>
        <v>0.2927784235411332</v>
      </c>
    </row>
    <row r="227" spans="1:8">
      <c r="A227" s="8" t="s">
        <v>37</v>
      </c>
      <c r="B227" s="2">
        <v>2016</v>
      </c>
      <c r="C227" s="3">
        <v>1118</v>
      </c>
      <c r="D227" s="2">
        <v>449635</v>
      </c>
      <c r="E227" s="2">
        <v>10864.3</v>
      </c>
      <c r="F227" s="4">
        <f>geo_data[[#This Row],[gdp_value_rec]]/geo_data[[#This Row],[population_rec]]*100</f>
        <v>2.4162487350851243</v>
      </c>
      <c r="G227" s="4">
        <f>geo_data[[#This Row],[n]]/geo_data[[#This Row],[population_rec]]*100</f>
        <v>0.24864612407841918</v>
      </c>
      <c r="H227" s="4">
        <f>geo_data[[#This Row],[n]]/SUMIF(geo_data[year],geo_data[[#This Row],[year]],geo_data[n])*100</f>
        <v>0.22272691051079765</v>
      </c>
    </row>
    <row r="228" spans="1:8">
      <c r="A228" s="8" t="s">
        <v>37</v>
      </c>
      <c r="B228" s="2">
        <v>2017</v>
      </c>
      <c r="C228" s="3">
        <v>1306</v>
      </c>
      <c r="D228" s="2">
        <v>459375</v>
      </c>
      <c r="E228" s="2">
        <v>12535.7</v>
      </c>
      <c r="F228" s="4">
        <f>geo_data[[#This Row],[gdp_value_rec]]/geo_data[[#This Row],[population_rec]]*100</f>
        <v>2.7288598639455786</v>
      </c>
      <c r="G228" s="4">
        <f>geo_data[[#This Row],[n]]/geo_data[[#This Row],[population_rec]]*100</f>
        <v>0.28429931972789119</v>
      </c>
      <c r="H228" s="4">
        <f>geo_data[[#This Row],[n]]/SUMIF(geo_data[year],geo_data[[#This Row],[year]],geo_data[n])*100</f>
        <v>0.24448321564692582</v>
      </c>
    </row>
    <row r="229" spans="1:8">
      <c r="A229" s="8" t="s">
        <v>37</v>
      </c>
      <c r="B229" s="2">
        <v>2018</v>
      </c>
      <c r="C229" s="3">
        <v>1536</v>
      </c>
      <c r="D229" s="2">
        <v>474837</v>
      </c>
      <c r="E229" s="2">
        <v>13678.6</v>
      </c>
      <c r="F229" s="4">
        <f>geo_data[[#This Row],[gdp_value_rec]]/geo_data[[#This Row],[population_rec]]*100</f>
        <v>2.8806937959763035</v>
      </c>
      <c r="G229" s="4">
        <f>geo_data[[#This Row],[n]]/geo_data[[#This Row],[population_rec]]*100</f>
        <v>0.32347942557130133</v>
      </c>
      <c r="H229" s="4">
        <f>geo_data[[#This Row],[n]]/SUMIF(geo_data[year],geo_data[[#This Row],[year]],geo_data[n])*100</f>
        <v>0.26594455333088629</v>
      </c>
    </row>
    <row r="230" spans="1:8">
      <c r="A230" s="8" t="s">
        <v>37</v>
      </c>
      <c r="B230" s="2">
        <v>2019</v>
      </c>
      <c r="C230" s="3">
        <v>1646</v>
      </c>
      <c r="D230" s="2">
        <v>492968</v>
      </c>
      <c r="E230" s="2">
        <v>14594.2</v>
      </c>
      <c r="F230" s="4">
        <f>geo_data[[#This Row],[gdp_value_rec]]/geo_data[[#This Row],[population_rec]]*100</f>
        <v>2.9604761363820775</v>
      </c>
      <c r="G230" s="4">
        <f>geo_data[[#This Row],[n]]/geo_data[[#This Row],[population_rec]]*100</f>
        <v>0.33389591210788527</v>
      </c>
      <c r="H230" s="4">
        <f>geo_data[[#This Row],[n]]/SUMIF(geo_data[year],geo_data[[#This Row],[year]],geo_data[n])*100</f>
        <v>0.26600773458698501</v>
      </c>
    </row>
    <row r="231" spans="1:8">
      <c r="A231" s="8" t="s">
        <v>37</v>
      </c>
      <c r="B231" s="2">
        <v>2020</v>
      </c>
      <c r="C231" s="3">
        <v>420</v>
      </c>
      <c r="D231" s="2">
        <v>514855</v>
      </c>
      <c r="E231" s="2">
        <v>14362.4</v>
      </c>
      <c r="F231" s="4">
        <f>geo_data[[#This Row],[gdp_value_rec]]/geo_data[[#This Row],[population_rec]]*100</f>
        <v>2.7896009556088606</v>
      </c>
      <c r="G231" s="4">
        <f>geo_data[[#This Row],[n]]/geo_data[[#This Row],[population_rec]]*100</f>
        <v>8.1576366161346392E-2</v>
      </c>
      <c r="H231" s="4">
        <f>geo_data[[#This Row],[n]]/SUMIF(geo_data[year],geo_data[[#This Row],[year]],geo_data[n])*100</f>
        <v>0.18034652296197692</v>
      </c>
    </row>
    <row r="232" spans="1:8">
      <c r="A232" s="8" t="s">
        <v>37</v>
      </c>
      <c r="B232" s="2">
        <v>2021</v>
      </c>
      <c r="C232" s="3">
        <v>801</v>
      </c>
      <c r="D232" s="2">
        <v>516125</v>
      </c>
      <c r="E232" s="2">
        <v>16681.7</v>
      </c>
      <c r="F232" s="4">
        <f>geo_data[[#This Row],[gdp_value_rec]]/geo_data[[#This Row],[population_rec]]*100</f>
        <v>3.2321046258173891</v>
      </c>
      <c r="G232" s="4">
        <f>geo_data[[#This Row],[n]]/geo_data[[#This Row],[population_rec]]*100</f>
        <v>0.15519496246064424</v>
      </c>
      <c r="H232" s="4">
        <f>geo_data[[#This Row],[n]]/SUMIF(geo_data[year],geo_data[[#This Row],[year]],geo_data[n])*100</f>
        <v>0.20577136001767427</v>
      </c>
    </row>
    <row r="233" spans="1:8">
      <c r="A233" s="8" t="s">
        <v>37</v>
      </c>
      <c r="B233" s="2">
        <v>2022</v>
      </c>
      <c r="C233" s="3">
        <v>1876</v>
      </c>
      <c r="D233" s="2">
        <v>520174</v>
      </c>
      <c r="E233" s="2">
        <v>17984.8</v>
      </c>
      <c r="F233" s="4">
        <f>geo_data[[#This Row],[gdp_value_rec]]/geo_data[[#This Row],[population_rec]]*100</f>
        <v>3.4574584658210519</v>
      </c>
      <c r="G233" s="4">
        <f>geo_data[[#This Row],[n]]/geo_data[[#This Row],[population_rec]]*100</f>
        <v>0.3606485522152203</v>
      </c>
      <c r="H233" s="4">
        <f>geo_data[[#This Row],[n]]/SUMIF(geo_data[year],geo_data[[#This Row],[year]],geo_data[n])*100</f>
        <v>0.2664689455727236</v>
      </c>
    </row>
    <row r="234" spans="1:8">
      <c r="A234" s="8" t="s">
        <v>38</v>
      </c>
      <c r="B234" s="2">
        <v>2014</v>
      </c>
      <c r="C234" s="3">
        <v>8024</v>
      </c>
      <c r="D234" s="2">
        <v>16829289</v>
      </c>
      <c r="E234" s="2">
        <v>678627</v>
      </c>
      <c r="F234" s="4">
        <f>geo_data[[#This Row],[gdp_value_rec]]/geo_data[[#This Row],[population_rec]]*100</f>
        <v>4.0324163427225006</v>
      </c>
      <c r="G234" s="4">
        <f>geo_data[[#This Row],[n]]/geo_data[[#This Row],[population_rec]]*100</f>
        <v>4.767878191407849E-2</v>
      </c>
      <c r="H234" s="4">
        <f>geo_data[[#This Row],[n]]/SUMIF(geo_data[year],geo_data[[#This Row],[year]],geo_data[n])*100</f>
        <v>3.9854964486166988</v>
      </c>
    </row>
    <row r="235" spans="1:8">
      <c r="A235" s="8" t="s">
        <v>38</v>
      </c>
      <c r="B235" s="2">
        <v>2015</v>
      </c>
      <c r="C235" s="3">
        <v>19772</v>
      </c>
      <c r="D235" s="2">
        <v>16900726</v>
      </c>
      <c r="E235" s="2">
        <v>699175</v>
      </c>
      <c r="F235" s="4">
        <f>geo_data[[#This Row],[gdp_value_rec]]/geo_data[[#This Row],[population_rec]]*100</f>
        <v>4.1369524599120773</v>
      </c>
      <c r="G235" s="4">
        <f>geo_data[[#This Row],[n]]/geo_data[[#This Row],[population_rec]]*100</f>
        <v>0.11698905715647956</v>
      </c>
      <c r="H235" s="4">
        <f>geo_data[[#This Row],[n]]/SUMIF(geo_data[year],geo_data[[#This Row],[year]],geo_data[n])*100</f>
        <v>4.3200111867576751</v>
      </c>
    </row>
    <row r="236" spans="1:8">
      <c r="A236" s="8" t="s">
        <v>38</v>
      </c>
      <c r="B236" s="2">
        <v>2016</v>
      </c>
      <c r="C236" s="3">
        <v>21671</v>
      </c>
      <c r="D236" s="2">
        <v>16979120</v>
      </c>
      <c r="E236" s="2">
        <v>720175</v>
      </c>
      <c r="F236" s="4">
        <f>geo_data[[#This Row],[gdp_value_rec]]/geo_data[[#This Row],[population_rec]]*100</f>
        <v>4.2415331301033268</v>
      </c>
      <c r="G236" s="4">
        <f>geo_data[[#This Row],[n]]/geo_data[[#This Row],[population_rec]]*100</f>
        <v>0.12763323423122047</v>
      </c>
      <c r="H236" s="4">
        <f>geo_data[[#This Row],[n]]/SUMIF(geo_data[year],geo_data[[#This Row],[year]],geo_data[n])*100</f>
        <v>4.3172762769941828</v>
      </c>
    </row>
    <row r="237" spans="1:8">
      <c r="A237" s="8" t="s">
        <v>38</v>
      </c>
      <c r="B237" s="2">
        <v>2017</v>
      </c>
      <c r="C237" s="3">
        <v>22212</v>
      </c>
      <c r="D237" s="2">
        <v>17081507</v>
      </c>
      <c r="E237" s="2">
        <v>750861</v>
      </c>
      <c r="F237" s="4">
        <f>geo_data[[#This Row],[gdp_value_rec]]/geo_data[[#This Row],[population_rec]]*100</f>
        <v>4.3957538406886467</v>
      </c>
      <c r="G237" s="4">
        <f>geo_data[[#This Row],[n]]/geo_data[[#This Row],[population_rec]]*100</f>
        <v>0.1300353651466466</v>
      </c>
      <c r="H237" s="4">
        <f>geo_data[[#This Row],[n]]/SUMIF(geo_data[year],geo_data[[#This Row],[year]],geo_data[n])*100</f>
        <v>4.1580866661175468</v>
      </c>
    </row>
    <row r="238" spans="1:8">
      <c r="A238" s="8" t="s">
        <v>38</v>
      </c>
      <c r="B238" s="2">
        <v>2018</v>
      </c>
      <c r="C238" s="3">
        <v>23087</v>
      </c>
      <c r="D238" s="2">
        <v>17181084</v>
      </c>
      <c r="E238" s="2">
        <v>787273</v>
      </c>
      <c r="F238" s="4">
        <f>geo_data[[#This Row],[gdp_value_rec]]/geo_data[[#This Row],[population_rec]]*100</f>
        <v>4.5822079677859673</v>
      </c>
      <c r="G238" s="4">
        <f>geo_data[[#This Row],[n]]/geo_data[[#This Row],[population_rec]]*100</f>
        <v>0.13437452491356192</v>
      </c>
      <c r="H238" s="4">
        <f>geo_data[[#This Row],[n]]/SUMIF(geo_data[year],geo_data[[#This Row],[year]],geo_data[n])*100</f>
        <v>3.9973059262696427</v>
      </c>
    </row>
    <row r="239" spans="1:8">
      <c r="A239" s="8" t="s">
        <v>38</v>
      </c>
      <c r="B239" s="2">
        <v>2019</v>
      </c>
      <c r="C239" s="3">
        <v>25308</v>
      </c>
      <c r="D239" s="2">
        <v>17282163</v>
      </c>
      <c r="E239" s="2">
        <v>829767</v>
      </c>
      <c r="F239" s="4">
        <f>geo_data[[#This Row],[gdp_value_rec]]/geo_data[[#This Row],[population_rec]]*100</f>
        <v>4.8012913661328156</v>
      </c>
      <c r="G239" s="4">
        <f>geo_data[[#This Row],[n]]/geo_data[[#This Row],[population_rec]]*100</f>
        <v>0.14644000290935805</v>
      </c>
      <c r="H239" s="4">
        <f>geo_data[[#This Row],[n]]/SUMIF(geo_data[year],geo_data[[#This Row],[year]],geo_data[n])*100</f>
        <v>4.0899901257153193</v>
      </c>
    </row>
    <row r="240" spans="1:8">
      <c r="A240" s="8" t="s">
        <v>38</v>
      </c>
      <c r="B240" s="2">
        <v>2020</v>
      </c>
      <c r="C240" s="3">
        <v>9440</v>
      </c>
      <c r="D240" s="2">
        <v>17407585</v>
      </c>
      <c r="E240" s="2">
        <v>816463</v>
      </c>
      <c r="F240" s="4">
        <f>geo_data[[#This Row],[gdp_value_rec]]/geo_data[[#This Row],[population_rec]]*100</f>
        <v>4.6902715109534148</v>
      </c>
      <c r="G240" s="4">
        <f>geo_data[[#This Row],[n]]/geo_data[[#This Row],[population_rec]]*100</f>
        <v>5.4229233980474606E-2</v>
      </c>
      <c r="H240" s="4">
        <f>geo_data[[#This Row],[n]]/SUMIF(geo_data[year],geo_data[[#This Row],[year]],geo_data[n])*100</f>
        <v>4.0535028018120531</v>
      </c>
    </row>
    <row r="241" spans="1:8">
      <c r="A241" s="8" t="s">
        <v>38</v>
      </c>
      <c r="B241" s="2">
        <v>2021</v>
      </c>
      <c r="C241" s="3">
        <v>11457</v>
      </c>
      <c r="D241" s="2">
        <v>17475415</v>
      </c>
      <c r="E241" s="2">
        <v>891550</v>
      </c>
      <c r="F241" s="4">
        <f>geo_data[[#This Row],[gdp_value_rec]]/geo_data[[#This Row],[population_rec]]*100</f>
        <v>5.1017386425443974</v>
      </c>
      <c r="G241" s="4">
        <f>geo_data[[#This Row],[n]]/geo_data[[#This Row],[population_rec]]*100</f>
        <v>6.5560674810870023E-2</v>
      </c>
      <c r="H241" s="4">
        <f>geo_data[[#This Row],[n]]/SUMIF(geo_data[year],geo_data[[#This Row],[year]],geo_data[n])*100</f>
        <v>2.9432240595786441</v>
      </c>
    </row>
    <row r="242" spans="1:8">
      <c r="A242" s="8" t="s">
        <v>38</v>
      </c>
      <c r="B242" s="2">
        <v>2022</v>
      </c>
      <c r="C242" s="3">
        <v>28433</v>
      </c>
      <c r="D242" s="2">
        <v>17590672</v>
      </c>
      <c r="E242" s="2">
        <v>993820</v>
      </c>
      <c r="F242" s="4">
        <f>geo_data[[#This Row],[gdp_value_rec]]/geo_data[[#This Row],[population_rec]]*100</f>
        <v>5.6496988858640531</v>
      </c>
      <c r="G242" s="4">
        <f>geo_data[[#This Row],[n]]/geo_data[[#This Row],[population_rec]]*100</f>
        <v>0.16163680386968729</v>
      </c>
      <c r="H242" s="4">
        <f>geo_data[[#This Row],[n]]/SUMIF(geo_data[year],geo_data[[#This Row],[year]],geo_data[n])*100</f>
        <v>4.0386522012096213</v>
      </c>
    </row>
    <row r="243" spans="1:8">
      <c r="A243" s="8" t="s">
        <v>39</v>
      </c>
      <c r="B243" s="2">
        <v>2014</v>
      </c>
      <c r="C243" s="3">
        <v>1376</v>
      </c>
      <c r="D243" s="2">
        <v>5109056</v>
      </c>
      <c r="E243" s="2">
        <v>389086.7</v>
      </c>
      <c r="F243" s="4">
        <f>geo_data[[#This Row],[gdp_value_rec]]/geo_data[[#This Row],[population_rec]]*100</f>
        <v>7.6156280142554706</v>
      </c>
      <c r="G243" s="4">
        <f>geo_data[[#This Row],[n]]/geo_data[[#This Row],[population_rec]]*100</f>
        <v>2.6932568364879929E-2</v>
      </c>
      <c r="H243" s="4">
        <f>geo_data[[#This Row],[n]]/SUMIF(geo_data[year],geo_data[[#This Row],[year]],geo_data[n])*100</f>
        <v>0.68345502408980285</v>
      </c>
    </row>
    <row r="244" spans="1:8">
      <c r="A244" s="8" t="s">
        <v>39</v>
      </c>
      <c r="B244" s="2">
        <v>2015</v>
      </c>
      <c r="C244" s="3">
        <v>3509</v>
      </c>
      <c r="D244" s="2">
        <v>5165802</v>
      </c>
      <c r="E244" s="2">
        <v>361028.8</v>
      </c>
      <c r="F244" s="4">
        <f>geo_data[[#This Row],[gdp_value_rec]]/geo_data[[#This Row],[population_rec]]*100</f>
        <v>6.9888238070293829</v>
      </c>
      <c r="G244" s="4">
        <f>geo_data[[#This Row],[n]]/geo_data[[#This Row],[population_rec]]*100</f>
        <v>6.7927497027567063E-2</v>
      </c>
      <c r="H244" s="4">
        <f>geo_data[[#This Row],[n]]/SUMIF(geo_data[year],geo_data[[#This Row],[year]],geo_data[n])*100</f>
        <v>0.76668618522823606</v>
      </c>
    </row>
    <row r="245" spans="1:8">
      <c r="A245" s="8" t="s">
        <v>39</v>
      </c>
      <c r="B245" s="2">
        <v>2016</v>
      </c>
      <c r="C245" s="3">
        <v>4085</v>
      </c>
      <c r="D245" s="2">
        <v>5213985</v>
      </c>
      <c r="E245" s="2">
        <v>346542.3</v>
      </c>
      <c r="F245" s="4">
        <f>geo_data[[#This Row],[gdp_value_rec]]/geo_data[[#This Row],[population_rec]]*100</f>
        <v>6.6464000184120202</v>
      </c>
      <c r="G245" s="4">
        <f>geo_data[[#This Row],[n]]/geo_data[[#This Row],[population_rec]]*100</f>
        <v>7.8346984120591073E-2</v>
      </c>
      <c r="H245" s="4">
        <f>geo_data[[#This Row],[n]]/SUMIF(geo_data[year],geo_data[[#This Row],[year]],geo_data[n])*100</f>
        <v>0.81380986532791455</v>
      </c>
    </row>
    <row r="246" spans="1:8">
      <c r="A246" s="8" t="s">
        <v>39</v>
      </c>
      <c r="B246" s="2">
        <v>2017</v>
      </c>
      <c r="C246" s="3">
        <v>4620</v>
      </c>
      <c r="D246" s="2">
        <v>5258317</v>
      </c>
      <c r="E246" s="2">
        <v>368640.5</v>
      </c>
      <c r="F246" s="4">
        <f>geo_data[[#This Row],[gdp_value_rec]]/geo_data[[#This Row],[population_rec]]*100</f>
        <v>7.0106176558012763</v>
      </c>
      <c r="G246" s="4">
        <f>geo_data[[#This Row],[n]]/geo_data[[#This Row],[population_rec]]*100</f>
        <v>8.7860811738813008E-2</v>
      </c>
      <c r="H246" s="4">
        <f>geo_data[[#This Row],[n]]/SUMIF(geo_data[year],geo_data[[#This Row],[year]],geo_data[n])*100</f>
        <v>0.86486405535129951</v>
      </c>
    </row>
    <row r="247" spans="1:8">
      <c r="A247" s="8" t="s">
        <v>39</v>
      </c>
      <c r="B247" s="2">
        <v>2018</v>
      </c>
      <c r="C247" s="3">
        <v>5086</v>
      </c>
      <c r="D247" s="2">
        <v>5295619</v>
      </c>
      <c r="E247" s="2">
        <v>385198.6</v>
      </c>
      <c r="F247" s="4">
        <f>geo_data[[#This Row],[gdp_value_rec]]/geo_data[[#This Row],[population_rec]]*100</f>
        <v>7.273910755286586</v>
      </c>
      <c r="G247" s="4">
        <f>geo_data[[#This Row],[n]]/geo_data[[#This Row],[population_rec]]*100</f>
        <v>9.6041652543357059E-2</v>
      </c>
      <c r="H247" s="4">
        <f>geo_data[[#This Row],[n]]/SUMIF(geo_data[year],geo_data[[#This Row],[year]],geo_data[n])*100</f>
        <v>0.88059505093807788</v>
      </c>
    </row>
    <row r="248" spans="1:8">
      <c r="A248" s="8" t="s">
        <v>39</v>
      </c>
      <c r="B248" s="2">
        <v>2019</v>
      </c>
      <c r="C248" s="3">
        <v>5589</v>
      </c>
      <c r="D248" s="2">
        <v>5328212</v>
      </c>
      <c r="E248" s="2">
        <v>378978.5</v>
      </c>
      <c r="F248" s="4">
        <f>geo_data[[#This Row],[gdp_value_rec]]/geo_data[[#This Row],[population_rec]]*100</f>
        <v>7.1126768229192079</v>
      </c>
      <c r="G248" s="4">
        <f>geo_data[[#This Row],[n]]/geo_data[[#This Row],[population_rec]]*100</f>
        <v>0.10489447491954149</v>
      </c>
      <c r="H248" s="4">
        <f>geo_data[[#This Row],[n]]/SUMIF(geo_data[year],geo_data[[#This Row],[year]],geo_data[n])*100</f>
        <v>0.90323039405021832</v>
      </c>
    </row>
    <row r="249" spans="1:8">
      <c r="A249" s="8" t="s">
        <v>39</v>
      </c>
      <c r="B249" s="2">
        <v>2020</v>
      </c>
      <c r="C249" s="3">
        <v>2274</v>
      </c>
      <c r="D249" s="2">
        <v>5367580</v>
      </c>
      <c r="E249" s="2">
        <v>335661</v>
      </c>
      <c r="F249" s="4">
        <f>geo_data[[#This Row],[gdp_value_rec]]/geo_data[[#This Row],[population_rec]]*100</f>
        <v>6.2534885367334994</v>
      </c>
      <c r="G249" s="4">
        <f>geo_data[[#This Row],[n]]/geo_data[[#This Row],[population_rec]]*100</f>
        <v>4.2365460784934736E-2</v>
      </c>
      <c r="H249" s="4">
        <f>geo_data[[#This Row],[n]]/SUMIF(geo_data[year],geo_data[[#This Row],[year]],geo_data[n])*100</f>
        <v>0.97644760289413224</v>
      </c>
    </row>
    <row r="250" spans="1:8">
      <c r="A250" s="8" t="s">
        <v>39</v>
      </c>
      <c r="B250" s="2">
        <v>2021</v>
      </c>
      <c r="C250" s="3">
        <v>3145</v>
      </c>
      <c r="D250" s="2">
        <v>5391369</v>
      </c>
      <c r="E250" s="2">
        <v>440848.6</v>
      </c>
      <c r="F250" s="4">
        <f>geo_data[[#This Row],[gdp_value_rec]]/geo_data[[#This Row],[population_rec]]*100</f>
        <v>8.1769324266248518</v>
      </c>
      <c r="G250" s="4">
        <f>geo_data[[#This Row],[n]]/geo_data[[#This Row],[population_rec]]*100</f>
        <v>5.8333977882055556E-2</v>
      </c>
      <c r="H250" s="4">
        <f>geo_data[[#This Row],[n]]/SUMIF(geo_data[year],geo_data[[#This Row],[year]],geo_data[n])*100</f>
        <v>0.80792874813431403</v>
      </c>
    </row>
    <row r="251" spans="1:8">
      <c r="A251" s="8" t="s">
        <v>39</v>
      </c>
      <c r="B251" s="2">
        <v>2022</v>
      </c>
      <c r="C251" s="3">
        <v>7580</v>
      </c>
      <c r="D251" s="2">
        <v>5425270</v>
      </c>
      <c r="E251" s="2">
        <v>587476</v>
      </c>
      <c r="F251" s="4">
        <f>geo_data[[#This Row],[gdp_value_rec]]/geo_data[[#This Row],[population_rec]]*100</f>
        <v>10.828511760704997</v>
      </c>
      <c r="G251" s="4">
        <f>geo_data[[#This Row],[n]]/geo_data[[#This Row],[population_rec]]*100</f>
        <v>0.13971654866946714</v>
      </c>
      <c r="H251" s="4">
        <f>geo_data[[#This Row],[n]]/SUMIF(geo_data[year],geo_data[[#This Row],[year]],geo_data[n])*100</f>
        <v>1.0766708994889362</v>
      </c>
    </row>
    <row r="252" spans="1:8">
      <c r="A252" s="8" t="s">
        <v>40</v>
      </c>
      <c r="B252" s="2">
        <v>2014</v>
      </c>
      <c r="C252" s="3">
        <v>10073</v>
      </c>
      <c r="D252" s="2">
        <v>38017856</v>
      </c>
      <c r="E252" s="2">
        <v>408714.7</v>
      </c>
      <c r="F252" s="4">
        <f>geo_data[[#This Row],[gdp_value_rec]]/geo_data[[#This Row],[population_rec]]*100</f>
        <v>1.0750598350417235</v>
      </c>
      <c r="G252" s="4">
        <f>geo_data[[#This Row],[n]]/geo_data[[#This Row],[population_rec]]*100</f>
        <v>2.6495444666842866E-2</v>
      </c>
      <c r="H252" s="4">
        <f>geo_data[[#This Row],[n]]/SUMIF(geo_data[year],geo_data[[#This Row],[year]],geo_data[n])*100</f>
        <v>5.0032285302736801</v>
      </c>
    </row>
    <row r="253" spans="1:8">
      <c r="A253" s="8" t="s">
        <v>40</v>
      </c>
      <c r="B253" s="2">
        <v>2015</v>
      </c>
      <c r="C253" s="3">
        <v>26862</v>
      </c>
      <c r="D253" s="2">
        <v>38005614</v>
      </c>
      <c r="E253" s="2">
        <v>432485.8</v>
      </c>
      <c r="F253" s="4">
        <f>geo_data[[#This Row],[gdp_value_rec]]/geo_data[[#This Row],[population_rec]]*100</f>
        <v>1.1379524088204442</v>
      </c>
      <c r="G253" s="4">
        <f>geo_data[[#This Row],[n]]/geo_data[[#This Row],[population_rec]]*100</f>
        <v>7.0679031787251212E-2</v>
      </c>
      <c r="H253" s="4">
        <f>geo_data[[#This Row],[n]]/SUMIF(geo_data[year],geo_data[[#This Row],[year]],geo_data[n])*100</f>
        <v>5.8691149351954621</v>
      </c>
    </row>
    <row r="254" spans="1:8">
      <c r="A254" s="8" t="s">
        <v>40</v>
      </c>
      <c r="B254" s="2">
        <v>2016</v>
      </c>
      <c r="C254" s="3">
        <v>27873</v>
      </c>
      <c r="D254" s="2">
        <v>37967209</v>
      </c>
      <c r="E254" s="2">
        <v>427658.6</v>
      </c>
      <c r="F254" s="4">
        <f>geo_data[[#This Row],[gdp_value_rec]]/geo_data[[#This Row],[population_rec]]*100</f>
        <v>1.1263893535076543</v>
      </c>
      <c r="G254" s="4">
        <f>geo_data[[#This Row],[n]]/geo_data[[#This Row],[population_rec]]*100</f>
        <v>7.341334992519466E-2</v>
      </c>
      <c r="H254" s="4">
        <f>geo_data[[#This Row],[n]]/SUMIF(geo_data[year],geo_data[[#This Row],[year]],geo_data[n])*100</f>
        <v>5.5528328950513979</v>
      </c>
    </row>
    <row r="255" spans="1:8">
      <c r="A255" s="8" t="s">
        <v>40</v>
      </c>
      <c r="B255" s="2">
        <v>2017</v>
      </c>
      <c r="C255" s="3">
        <v>27983</v>
      </c>
      <c r="D255" s="2">
        <v>37972964</v>
      </c>
      <c r="E255" s="2">
        <v>469071.2</v>
      </c>
      <c r="F255" s="4">
        <f>geo_data[[#This Row],[gdp_value_rec]]/geo_data[[#This Row],[population_rec]]*100</f>
        <v>1.2352767616454696</v>
      </c>
      <c r="G255" s="4">
        <f>geo_data[[#This Row],[n]]/geo_data[[#This Row],[population_rec]]*100</f>
        <v>7.3691903534314568E-2</v>
      </c>
      <c r="H255" s="4">
        <f>geo_data[[#This Row],[n]]/SUMIF(geo_data[year],geo_data[[#This Row],[year]],geo_data[n])*100</f>
        <v>5.2384179352587479</v>
      </c>
    </row>
    <row r="256" spans="1:8">
      <c r="A256" s="8" t="s">
        <v>40</v>
      </c>
      <c r="B256" s="2">
        <v>2018</v>
      </c>
      <c r="C256" s="3">
        <v>29541</v>
      </c>
      <c r="D256" s="2">
        <v>37976687</v>
      </c>
      <c r="E256" s="2">
        <v>503951</v>
      </c>
      <c r="F256" s="4">
        <f>geo_data[[#This Row],[gdp_value_rec]]/geo_data[[#This Row],[population_rec]]*100</f>
        <v>1.3270009571925008</v>
      </c>
      <c r="G256" s="4">
        <f>geo_data[[#This Row],[n]]/geo_data[[#This Row],[population_rec]]*100</f>
        <v>7.7787196129035688E-2</v>
      </c>
      <c r="H256" s="4">
        <f>geo_data[[#This Row],[n]]/SUMIF(geo_data[year],geo_data[[#This Row],[year]],geo_data[n])*100</f>
        <v>5.1147578450180413</v>
      </c>
    </row>
    <row r="257" spans="1:8">
      <c r="A257" s="8" t="s">
        <v>40</v>
      </c>
      <c r="B257" s="2">
        <v>2019</v>
      </c>
      <c r="C257" s="3">
        <v>32347</v>
      </c>
      <c r="D257" s="2">
        <v>37972812</v>
      </c>
      <c r="E257" s="2">
        <v>538423.5</v>
      </c>
      <c r="F257" s="4">
        <f>geo_data[[#This Row],[gdp_value_rec]]/geo_data[[#This Row],[population_rec]]*100</f>
        <v>1.4179184306919381</v>
      </c>
      <c r="G257" s="4">
        <f>geo_data[[#This Row],[n]]/geo_data[[#This Row],[population_rec]]*100</f>
        <v>8.518463157271576E-2</v>
      </c>
      <c r="H257" s="4">
        <f>geo_data[[#This Row],[n]]/SUMIF(geo_data[year],geo_data[[#This Row],[year]],geo_data[n])*100</f>
        <v>5.2275529712546804</v>
      </c>
    </row>
    <row r="258" spans="1:8">
      <c r="A258" s="8" t="s">
        <v>40</v>
      </c>
      <c r="B258" s="2">
        <v>2020</v>
      </c>
      <c r="C258" s="3">
        <v>11379</v>
      </c>
      <c r="D258" s="2">
        <v>37958138</v>
      </c>
      <c r="E258" s="2">
        <v>531827.4</v>
      </c>
      <c r="F258" s="4">
        <f>geo_data[[#This Row],[gdp_value_rec]]/geo_data[[#This Row],[population_rec]]*100</f>
        <v>1.4010892736624754</v>
      </c>
      <c r="G258" s="4">
        <f>geo_data[[#This Row],[n]]/geo_data[[#This Row],[population_rec]]*100</f>
        <v>2.9977761290609143E-2</v>
      </c>
      <c r="H258" s="4">
        <f>geo_data[[#This Row],[n]]/SUMIF(geo_data[year],geo_data[[#This Row],[year]],geo_data[n])*100</f>
        <v>4.8861025828198468</v>
      </c>
    </row>
    <row r="259" spans="1:8">
      <c r="A259" s="8" t="s">
        <v>40</v>
      </c>
      <c r="B259" s="2">
        <v>2021</v>
      </c>
      <c r="C259" s="3">
        <v>24985</v>
      </c>
      <c r="D259" s="2">
        <v>37073357</v>
      </c>
      <c r="E259" s="2">
        <v>583001.4</v>
      </c>
      <c r="F259" s="4">
        <f>geo_data[[#This Row],[gdp_value_rec]]/geo_data[[#This Row],[population_rec]]*100</f>
        <v>1.5725616647016887</v>
      </c>
      <c r="G259" s="4">
        <f>geo_data[[#This Row],[n]]/geo_data[[#This Row],[population_rec]]*100</f>
        <v>6.7393411392445521E-2</v>
      </c>
      <c r="H259" s="4">
        <f>geo_data[[#This Row],[n]]/SUMIF(geo_data[year],geo_data[[#This Row],[year]],geo_data[n])*100</f>
        <v>6.4184736954326986</v>
      </c>
    </row>
    <row r="260" spans="1:8">
      <c r="A260" s="8" t="s">
        <v>40</v>
      </c>
      <c r="B260" s="2">
        <v>2022</v>
      </c>
      <c r="C260" s="3">
        <v>39769</v>
      </c>
      <c r="D260" s="2">
        <v>36889761</v>
      </c>
      <c r="E260" s="2">
        <v>661712.30000000005</v>
      </c>
      <c r="F260" s="4">
        <f>geo_data[[#This Row],[gdp_value_rec]]/geo_data[[#This Row],[population_rec]]*100</f>
        <v>1.7937559964132055</v>
      </c>
      <c r="G260" s="4">
        <f>geo_data[[#This Row],[n]]/geo_data[[#This Row],[population_rec]]*100</f>
        <v>0.10780498144186945</v>
      </c>
      <c r="H260" s="4">
        <f>geo_data[[#This Row],[n]]/SUMIF(geo_data[year],geo_data[[#This Row],[year]],geo_data[n])*100</f>
        <v>5.6488291559070598</v>
      </c>
    </row>
    <row r="261" spans="1:8">
      <c r="A261" s="8" t="s">
        <v>41</v>
      </c>
      <c r="B261" s="2">
        <v>2014</v>
      </c>
      <c r="C261" s="3">
        <v>5176</v>
      </c>
      <c r="D261" s="2">
        <v>10444092</v>
      </c>
      <c r="E261" s="2">
        <v>173186.7</v>
      </c>
      <c r="F261" s="4">
        <f>geo_data[[#This Row],[gdp_value_rec]]/geo_data[[#This Row],[population_rec]]*100</f>
        <v>1.6582264882385183</v>
      </c>
      <c r="G261" s="4">
        <f>geo_data[[#This Row],[n]]/geo_data[[#This Row],[population_rec]]*100</f>
        <v>4.9559119165170119E-2</v>
      </c>
      <c r="H261" s="4">
        <f>geo_data[[#This Row],[n]]/SUMIF(geo_data[year],geo_data[[#This Row],[year]],geo_data[n])*100</f>
        <v>2.5709034917796654</v>
      </c>
    </row>
    <row r="262" spans="1:8">
      <c r="A262" s="8" t="s">
        <v>41</v>
      </c>
      <c r="B262" s="2">
        <v>2015</v>
      </c>
      <c r="C262" s="3">
        <v>13335</v>
      </c>
      <c r="D262" s="2">
        <v>10395121</v>
      </c>
      <c r="E262" s="2">
        <v>179392.7</v>
      </c>
      <c r="F262" s="4">
        <f>geo_data[[#This Row],[gdp_value_rec]]/geo_data[[#This Row],[population_rec]]*100</f>
        <v>1.7257394117875107</v>
      </c>
      <c r="G262" s="4">
        <f>geo_data[[#This Row],[n]]/geo_data[[#This Row],[population_rec]]*100</f>
        <v>0.12828133506093869</v>
      </c>
      <c r="H262" s="4">
        <f>geo_data[[#This Row],[n]]/SUMIF(geo_data[year],geo_data[[#This Row],[year]],geo_data[n])*100</f>
        <v>2.9135822969559784</v>
      </c>
    </row>
    <row r="263" spans="1:8">
      <c r="A263" s="8" t="s">
        <v>41</v>
      </c>
      <c r="B263" s="2">
        <v>2016</v>
      </c>
      <c r="C263" s="3">
        <v>14222</v>
      </c>
      <c r="D263" s="2">
        <v>10368554</v>
      </c>
      <c r="E263" s="2">
        <v>186380.7</v>
      </c>
      <c r="F263" s="4">
        <f>geo_data[[#This Row],[gdp_value_rec]]/geo_data[[#This Row],[population_rec]]*100</f>
        <v>1.7975573064479389</v>
      </c>
      <c r="G263" s="4">
        <f>geo_data[[#This Row],[n]]/geo_data[[#This Row],[population_rec]]*100</f>
        <v>0.13716473868969578</v>
      </c>
      <c r="H263" s="4">
        <f>geo_data[[#This Row],[n]]/SUMIF(geo_data[year],geo_data[[#This Row],[year]],geo_data[n])*100</f>
        <v>2.8332934895210773</v>
      </c>
    </row>
    <row r="264" spans="1:8">
      <c r="A264" s="8" t="s">
        <v>41</v>
      </c>
      <c r="B264" s="2">
        <v>2017</v>
      </c>
      <c r="C264" s="3">
        <v>15414</v>
      </c>
      <c r="D264" s="2">
        <v>10344478</v>
      </c>
      <c r="E264" s="2">
        <v>195509.1</v>
      </c>
      <c r="F264" s="4">
        <f>geo_data[[#This Row],[gdp_value_rec]]/geo_data[[#This Row],[population_rec]]*100</f>
        <v>1.8899851688988076</v>
      </c>
      <c r="G264" s="4">
        <f>geo_data[[#This Row],[n]]/geo_data[[#This Row],[population_rec]]*100</f>
        <v>0.14900703544441779</v>
      </c>
      <c r="H264" s="4">
        <f>geo_data[[#This Row],[n]]/SUMIF(geo_data[year],geo_data[[#This Row],[year]],geo_data[n])*100</f>
        <v>2.885500984672063</v>
      </c>
    </row>
    <row r="265" spans="1:8">
      <c r="A265" s="8" t="s">
        <v>41</v>
      </c>
      <c r="B265" s="2">
        <v>2018</v>
      </c>
      <c r="C265" s="3">
        <v>17234</v>
      </c>
      <c r="D265" s="2">
        <v>10335770</v>
      </c>
      <c r="E265" s="2">
        <v>204997.6</v>
      </c>
      <c r="F265" s="4">
        <f>geo_data[[#This Row],[gdp_value_rec]]/geo_data[[#This Row],[population_rec]]*100</f>
        <v>1.9833800481241357</v>
      </c>
      <c r="G265" s="4">
        <f>geo_data[[#This Row],[n]]/geo_data[[#This Row],[population_rec]]*100</f>
        <v>0.16674132648075568</v>
      </c>
      <c r="H265" s="4">
        <f>geo_data[[#This Row],[n]]/SUMIF(geo_data[year],geo_data[[#This Row],[year]],geo_data[n])*100</f>
        <v>2.9839117396513632</v>
      </c>
    </row>
    <row r="266" spans="1:8">
      <c r="A266" s="8" t="s">
        <v>41</v>
      </c>
      <c r="B266" s="2">
        <v>2019</v>
      </c>
      <c r="C266" s="3">
        <v>18465</v>
      </c>
      <c r="D266" s="2">
        <v>10333496</v>
      </c>
      <c r="E266" s="2">
        <v>214489.9</v>
      </c>
      <c r="F266" s="4">
        <f>geo_data[[#This Row],[gdp_value_rec]]/geo_data[[#This Row],[population_rec]]*100</f>
        <v>2.0756760345191987</v>
      </c>
      <c r="G266" s="4">
        <f>geo_data[[#This Row],[n]]/geo_data[[#This Row],[population_rec]]*100</f>
        <v>0.17869073544906777</v>
      </c>
      <c r="H266" s="4">
        <f>geo_data[[#This Row],[n]]/SUMIF(geo_data[year],geo_data[[#This Row],[year]],geo_data[n])*100</f>
        <v>2.9841025632738023</v>
      </c>
    </row>
    <row r="267" spans="1:8">
      <c r="A267" s="8" t="s">
        <v>41</v>
      </c>
      <c r="B267" s="2">
        <v>2020</v>
      </c>
      <c r="C267" s="3">
        <v>7046</v>
      </c>
      <c r="D267" s="2">
        <v>10375395</v>
      </c>
      <c r="E267" s="2">
        <v>201032.7</v>
      </c>
      <c r="F267" s="4">
        <f>geo_data[[#This Row],[gdp_value_rec]]/geo_data[[#This Row],[population_rec]]*100</f>
        <v>1.9375908097956756</v>
      </c>
      <c r="G267" s="4">
        <f>geo_data[[#This Row],[n]]/geo_data[[#This Row],[population_rec]]*100</f>
        <v>6.7910667497478414E-2</v>
      </c>
      <c r="H267" s="4">
        <f>geo_data[[#This Row],[n]]/SUMIF(geo_data[year],geo_data[[#This Row],[year]],geo_data[n])*100</f>
        <v>3.0255276209287847</v>
      </c>
    </row>
    <row r="268" spans="1:8">
      <c r="A268" s="8" t="s">
        <v>41</v>
      </c>
      <c r="B268" s="2">
        <v>2021</v>
      </c>
      <c r="C268" s="3">
        <v>13122</v>
      </c>
      <c r="D268" s="2">
        <v>10394297</v>
      </c>
      <c r="E268" s="2">
        <v>216493.7</v>
      </c>
      <c r="F268" s="4">
        <f>geo_data[[#This Row],[gdp_value_rec]]/geo_data[[#This Row],[population_rec]]*100</f>
        <v>2.0828123344945793</v>
      </c>
      <c r="G268" s="4">
        <f>geo_data[[#This Row],[n]]/geo_data[[#This Row],[population_rec]]*100</f>
        <v>0.12624230383257279</v>
      </c>
      <c r="H268" s="4">
        <f>geo_data[[#This Row],[n]]/SUMIF(geo_data[year],geo_data[[#This Row],[year]],geo_data[n])*100</f>
        <v>3.3709510438850456</v>
      </c>
    </row>
    <row r="269" spans="1:8">
      <c r="A269" s="8" t="s">
        <v>41</v>
      </c>
      <c r="B269" s="2">
        <v>2022</v>
      </c>
      <c r="C269" s="3">
        <v>23683</v>
      </c>
      <c r="D269" s="2">
        <v>10421117</v>
      </c>
      <c r="E269" s="2">
        <v>243957.1</v>
      </c>
      <c r="F269" s="4">
        <f>geo_data[[#This Row],[gdp_value_rec]]/geo_data[[#This Row],[population_rec]]*100</f>
        <v>2.3409880150083722</v>
      </c>
      <c r="G269" s="4">
        <f>geo_data[[#This Row],[n]]/geo_data[[#This Row],[population_rec]]*100</f>
        <v>0.22725970738069634</v>
      </c>
      <c r="H269" s="4">
        <f>geo_data[[#This Row],[n]]/SUMIF(geo_data[year],geo_data[[#This Row],[year]],geo_data[n])*100</f>
        <v>3.3639573763319901</v>
      </c>
    </row>
    <row r="270" spans="1:8">
      <c r="A270" s="8" t="s">
        <v>42</v>
      </c>
      <c r="B270" s="2">
        <v>2014</v>
      </c>
      <c r="C270" s="3">
        <v>5286</v>
      </c>
      <c r="D270" s="2">
        <v>19947311</v>
      </c>
      <c r="E270" s="2">
        <v>150528.79999999999</v>
      </c>
      <c r="F270" s="4">
        <f>geo_data[[#This Row],[gdp_value_rec]]/geo_data[[#This Row],[population_rec]]*100</f>
        <v>0.75463204037877585</v>
      </c>
      <c r="G270" s="4">
        <f>geo_data[[#This Row],[n]]/geo_data[[#This Row],[population_rec]]*100</f>
        <v>2.6499812430858475E-2</v>
      </c>
      <c r="H270" s="4">
        <f>geo_data[[#This Row],[n]]/SUMIF(geo_data[year],geo_data[[#This Row],[year]],geo_data[n])*100</f>
        <v>2.6255401579496347</v>
      </c>
    </row>
    <row r="271" spans="1:8">
      <c r="A271" s="8" t="s">
        <v>42</v>
      </c>
      <c r="B271" s="2">
        <v>2015</v>
      </c>
      <c r="C271" s="3">
        <v>16433</v>
      </c>
      <c r="D271" s="2">
        <v>19870647</v>
      </c>
      <c r="E271" s="2">
        <v>160289</v>
      </c>
      <c r="F271" s="4">
        <f>geo_data[[#This Row],[gdp_value_rec]]/geo_data[[#This Row],[population_rec]]*100</f>
        <v>0.80666220883497153</v>
      </c>
      <c r="G271" s="4">
        <f>geo_data[[#This Row],[n]]/geo_data[[#This Row],[population_rec]]*100</f>
        <v>8.2699873839035043E-2</v>
      </c>
      <c r="H271" s="4">
        <f>geo_data[[#This Row],[n]]/SUMIF(geo_data[year],geo_data[[#This Row],[year]],geo_data[n])*100</f>
        <v>3.5904685328742101</v>
      </c>
    </row>
    <row r="272" spans="1:8">
      <c r="A272" s="8" t="s">
        <v>42</v>
      </c>
      <c r="B272" s="2">
        <v>2016</v>
      </c>
      <c r="C272" s="3">
        <v>16637</v>
      </c>
      <c r="D272" s="2">
        <v>19760585</v>
      </c>
      <c r="E272" s="2">
        <v>167497.1</v>
      </c>
      <c r="F272" s="4">
        <f>geo_data[[#This Row],[gdp_value_rec]]/geo_data[[#This Row],[population_rec]]*100</f>
        <v>0.84763229428683418</v>
      </c>
      <c r="G272" s="4">
        <f>geo_data[[#This Row],[n]]/geo_data[[#This Row],[population_rec]]*100</f>
        <v>8.4192851578027667E-2</v>
      </c>
      <c r="H272" s="4">
        <f>geo_data[[#This Row],[n]]/SUMIF(geo_data[year],geo_data[[#This Row],[year]],geo_data[n])*100</f>
        <v>3.314407522511754</v>
      </c>
    </row>
    <row r="273" spans="1:8">
      <c r="A273" s="8" t="s">
        <v>42</v>
      </c>
      <c r="B273" s="2">
        <v>2017</v>
      </c>
      <c r="C273" s="3">
        <v>17074</v>
      </c>
      <c r="D273" s="2">
        <v>19643949</v>
      </c>
      <c r="E273" s="2">
        <v>186399.2</v>
      </c>
      <c r="F273" s="4">
        <f>geo_data[[#This Row],[gdp_value_rec]]/geo_data[[#This Row],[population_rec]]*100</f>
        <v>0.94888863741195828</v>
      </c>
      <c r="G273" s="4">
        <f>geo_data[[#This Row],[n]]/geo_data[[#This Row],[population_rec]]*100</f>
        <v>8.6917350477747624E-2</v>
      </c>
      <c r="H273" s="4">
        <f>geo_data[[#This Row],[n]]/SUMIF(geo_data[year],geo_data[[#This Row],[year]],geo_data[n])*100</f>
        <v>3.1962530045601922</v>
      </c>
    </row>
    <row r="274" spans="1:8">
      <c r="A274" s="8" t="s">
        <v>42</v>
      </c>
      <c r="B274" s="2">
        <v>2018</v>
      </c>
      <c r="C274" s="3">
        <v>18689</v>
      </c>
      <c r="D274" s="2">
        <v>19533481</v>
      </c>
      <c r="E274" s="2">
        <v>204780.7</v>
      </c>
      <c r="F274" s="4">
        <f>geo_data[[#This Row],[gdp_value_rec]]/geo_data[[#This Row],[population_rec]]*100</f>
        <v>1.0483574330658216</v>
      </c>
      <c r="G274" s="4">
        <f>geo_data[[#This Row],[n]]/geo_data[[#This Row],[population_rec]]*100</f>
        <v>9.567675111261531E-2</v>
      </c>
      <c r="H274" s="4">
        <f>geo_data[[#This Row],[n]]/SUMIF(geo_data[year],geo_data[[#This Row],[year]],geo_data[n])*100</f>
        <v>3.2358318731776912</v>
      </c>
    </row>
    <row r="275" spans="1:8">
      <c r="A275" s="8" t="s">
        <v>42</v>
      </c>
      <c r="B275" s="2">
        <v>2019</v>
      </c>
      <c r="C275" s="3">
        <v>21547</v>
      </c>
      <c r="D275" s="2">
        <v>19414458</v>
      </c>
      <c r="E275" s="2">
        <v>223341.4</v>
      </c>
      <c r="F275" s="4">
        <f>geo_data[[#This Row],[gdp_value_rec]]/geo_data[[#This Row],[population_rec]]*100</f>
        <v>1.1503869950940686</v>
      </c>
      <c r="G275" s="4">
        <f>geo_data[[#This Row],[n]]/geo_data[[#This Row],[population_rec]]*100</f>
        <v>0.11098429840276766</v>
      </c>
      <c r="H275" s="4">
        <f>geo_data[[#This Row],[n]]/SUMIF(geo_data[year],geo_data[[#This Row],[year]],geo_data[n])*100</f>
        <v>3.4821802291286548</v>
      </c>
    </row>
    <row r="276" spans="1:8">
      <c r="A276" s="8" t="s">
        <v>42</v>
      </c>
      <c r="B276" s="2">
        <v>2020</v>
      </c>
      <c r="C276" s="3">
        <v>7003</v>
      </c>
      <c r="D276" s="2">
        <v>19328838</v>
      </c>
      <c r="E276" s="2">
        <v>219839.8</v>
      </c>
      <c r="F276" s="4">
        <f>geo_data[[#This Row],[gdp_value_rec]]/geo_data[[#This Row],[population_rec]]*100</f>
        <v>1.1373668712004312</v>
      </c>
      <c r="G276" s="4">
        <f>geo_data[[#This Row],[n]]/geo_data[[#This Row],[population_rec]]*100</f>
        <v>3.6230838087628441E-2</v>
      </c>
      <c r="H276" s="4">
        <f>geo_data[[#This Row],[n]]/SUMIF(geo_data[year],geo_data[[#This Row],[year]],geo_data[n])*100</f>
        <v>3.0070635721493439</v>
      </c>
    </row>
    <row r="277" spans="1:8">
      <c r="A277" s="8" t="s">
        <v>42</v>
      </c>
      <c r="B277" s="2">
        <v>2021</v>
      </c>
      <c r="C277" s="3">
        <v>17641</v>
      </c>
      <c r="D277" s="2">
        <v>19201662</v>
      </c>
      <c r="E277" s="2">
        <v>240986.6</v>
      </c>
      <c r="F277" s="4">
        <f>geo_data[[#This Row],[gdp_value_rec]]/geo_data[[#This Row],[population_rec]]*100</f>
        <v>1.255029903140676</v>
      </c>
      <c r="G277" s="4">
        <f>geo_data[[#This Row],[n]]/geo_data[[#This Row],[population_rec]]*100</f>
        <v>9.1872255641204395E-2</v>
      </c>
      <c r="H277" s="4">
        <f>geo_data[[#This Row],[n]]/SUMIF(geo_data[year],geo_data[[#This Row],[year]],geo_data[n])*100</f>
        <v>4.5318508889785161</v>
      </c>
    </row>
    <row r="278" spans="1:8">
      <c r="A278" s="8" t="s">
        <v>42</v>
      </c>
      <c r="B278" s="2">
        <v>2022</v>
      </c>
      <c r="C278" s="3">
        <v>27830</v>
      </c>
      <c r="D278" s="2">
        <v>19043098</v>
      </c>
      <c r="E278" s="2">
        <v>280777.40000000002</v>
      </c>
      <c r="F278" s="4">
        <f>geo_data[[#This Row],[gdp_value_rec]]/geo_data[[#This Row],[population_rec]]*100</f>
        <v>1.4744313136444502</v>
      </c>
      <c r="G278" s="4">
        <f>geo_data[[#This Row],[n]]/geo_data[[#This Row],[population_rec]]*100</f>
        <v>0.1461421875789328</v>
      </c>
      <c r="H278" s="4">
        <f>geo_data[[#This Row],[n]]/SUMIF(geo_data[year],geo_data[[#This Row],[year]],geo_data[n])*100</f>
        <v>3.9530014687041031</v>
      </c>
    </row>
    <row r="279" spans="1:8">
      <c r="A279" s="8" t="s">
        <v>43</v>
      </c>
      <c r="B279" s="2">
        <v>2014</v>
      </c>
      <c r="C279" s="3">
        <v>397</v>
      </c>
      <c r="D279" s="2">
        <v>7146759</v>
      </c>
      <c r="E279" s="2">
        <v>37014</v>
      </c>
      <c r="F279" s="4">
        <f>geo_data[[#This Row],[gdp_value_rec]]/geo_data[[#This Row],[population_rec]]*100</f>
        <v>0.51791308479829812</v>
      </c>
      <c r="G279" s="4">
        <f>geo_data[[#This Row],[n]]/geo_data[[#This Row],[population_rec]]*100</f>
        <v>5.5549655445216494E-3</v>
      </c>
      <c r="H279" s="4">
        <f>geo_data[[#This Row],[n]]/SUMIF(geo_data[year],geo_data[[#This Row],[year]],geo_data[n])*100</f>
        <v>0.19718869517707246</v>
      </c>
    </row>
    <row r="280" spans="1:8">
      <c r="A280" s="8" t="s">
        <v>43</v>
      </c>
      <c r="B280" s="2">
        <v>2015</v>
      </c>
      <c r="C280" s="3">
        <v>940</v>
      </c>
      <c r="D280" s="2">
        <v>7114393</v>
      </c>
      <c r="E280" s="2">
        <v>37219.599999999999</v>
      </c>
      <c r="F280" s="4">
        <f>geo_data[[#This Row],[gdp_value_rec]]/geo_data[[#This Row],[population_rec]]*100</f>
        <v>0.52315917886459185</v>
      </c>
      <c r="G280" s="4">
        <f>geo_data[[#This Row],[n]]/geo_data[[#This Row],[population_rec]]*100</f>
        <v>1.321265215458297E-2</v>
      </c>
      <c r="H280" s="4">
        <f>geo_data[[#This Row],[n]]/SUMIF(geo_data[year],geo_data[[#This Row],[year]],geo_data[n])*100</f>
        <v>0.20538187920049639</v>
      </c>
    </row>
    <row r="281" spans="1:8">
      <c r="A281" s="8" t="s">
        <v>43</v>
      </c>
      <c r="B281" s="2">
        <v>2016</v>
      </c>
      <c r="C281" s="3">
        <v>1803</v>
      </c>
      <c r="D281" s="2">
        <v>7076372</v>
      </c>
      <c r="E281" s="2">
        <v>38164.699999999997</v>
      </c>
      <c r="F281" s="4">
        <f>geo_data[[#This Row],[gdp_value_rec]]/geo_data[[#This Row],[population_rec]]*100</f>
        <v>0.53932580141349262</v>
      </c>
      <c r="G281" s="4">
        <f>geo_data[[#This Row],[n]]/geo_data[[#This Row],[population_rec]]*100</f>
        <v>2.5479157963996243E-2</v>
      </c>
      <c r="H281" s="4">
        <f>geo_data[[#This Row],[n]]/SUMIF(geo_data[year],geo_data[[#This Row],[year]],geo_data[n])*100</f>
        <v>0.35919196748744919</v>
      </c>
    </row>
    <row r="282" spans="1:8">
      <c r="A282" s="8" t="s">
        <v>43</v>
      </c>
      <c r="B282" s="2">
        <v>2017</v>
      </c>
      <c r="C282" s="3">
        <v>2508</v>
      </c>
      <c r="D282" s="2">
        <v>7040272</v>
      </c>
      <c r="E282" s="2">
        <v>40828.400000000001</v>
      </c>
      <c r="F282" s="4">
        <f>geo_data[[#This Row],[gdp_value_rec]]/geo_data[[#This Row],[population_rec]]*100</f>
        <v>0.57992645738687376</v>
      </c>
      <c r="G282" s="4">
        <f>geo_data[[#This Row],[n]]/geo_data[[#This Row],[population_rec]]*100</f>
        <v>3.5623623632723284E-2</v>
      </c>
      <c r="H282" s="4">
        <f>geo_data[[#This Row],[n]]/SUMIF(geo_data[year],geo_data[[#This Row],[year]],geo_data[n])*100</f>
        <v>0.46949763004784834</v>
      </c>
    </row>
    <row r="283" spans="1:8">
      <c r="A283" s="8" t="s">
        <v>43</v>
      </c>
      <c r="B283" s="2">
        <v>2018</v>
      </c>
      <c r="C283" s="3">
        <v>2956</v>
      </c>
      <c r="D283" s="2">
        <v>7001444</v>
      </c>
      <c r="E283" s="2">
        <v>44710.6</v>
      </c>
      <c r="F283" s="4">
        <f>geo_data[[#This Row],[gdp_value_rec]]/geo_data[[#This Row],[population_rec]]*100</f>
        <v>0.63859112491651726</v>
      </c>
      <c r="G283" s="4">
        <f>geo_data[[#This Row],[n]]/geo_data[[#This Row],[population_rec]]*100</f>
        <v>4.221986207416642E-2</v>
      </c>
      <c r="H283" s="4">
        <f>geo_data[[#This Row],[n]]/SUMIF(geo_data[year],geo_data[[#This Row],[year]],geo_data[n])*100</f>
        <v>0.51180475237376288</v>
      </c>
    </row>
    <row r="284" spans="1:8">
      <c r="A284" s="8" t="s">
        <v>43</v>
      </c>
      <c r="B284" s="2">
        <v>2019</v>
      </c>
      <c r="C284" s="3">
        <v>3188</v>
      </c>
      <c r="D284" s="2">
        <v>6963764</v>
      </c>
      <c r="E284" s="2">
        <v>48104.5</v>
      </c>
      <c r="F284" s="4">
        <f>geo_data[[#This Row],[gdp_value_rec]]/geo_data[[#This Row],[population_rec]]*100</f>
        <v>0.69078303055646351</v>
      </c>
      <c r="G284" s="4">
        <f>geo_data[[#This Row],[n]]/geo_data[[#This Row],[population_rec]]*100</f>
        <v>4.5779839753328798E-2</v>
      </c>
      <c r="H284" s="4">
        <f>geo_data[[#This Row],[n]]/SUMIF(geo_data[year],geo_data[[#This Row],[year]],geo_data[n])*100</f>
        <v>0.51520817610164527</v>
      </c>
    </row>
    <row r="285" spans="1:8">
      <c r="A285" s="8" t="s">
        <v>43</v>
      </c>
      <c r="B285" s="2">
        <v>2020</v>
      </c>
      <c r="C285" s="3">
        <v>794</v>
      </c>
      <c r="D285" s="2">
        <v>6926705</v>
      </c>
      <c r="E285" s="2">
        <v>49024.2</v>
      </c>
      <c r="F285" s="4">
        <f>geo_data[[#This Row],[gdp_value_rec]]/geo_data[[#This Row],[population_rec]]*100</f>
        <v>0.707756429644398</v>
      </c>
      <c r="G285" s="4">
        <f>geo_data[[#This Row],[n]]/geo_data[[#This Row],[population_rec]]*100</f>
        <v>1.1462881702050254E-2</v>
      </c>
      <c r="H285" s="4">
        <f>geo_data[[#This Row],[n]]/SUMIF(geo_data[year],geo_data[[#This Row],[year]],geo_data[n])*100</f>
        <v>0.34094080769478496</v>
      </c>
    </row>
    <row r="286" spans="1:8">
      <c r="A286" s="8" t="s">
        <v>43</v>
      </c>
      <c r="B286" s="2">
        <v>2021</v>
      </c>
      <c r="C286" s="3">
        <v>2091</v>
      </c>
      <c r="D286" s="2">
        <v>6871547</v>
      </c>
      <c r="E286" s="2">
        <v>55931.3</v>
      </c>
      <c r="F286" s="4">
        <f>geo_data[[#This Row],[gdp_value_rec]]/geo_data[[#This Row],[population_rec]]*100</f>
        <v>0.81395499441392172</v>
      </c>
      <c r="G286" s="4">
        <f>geo_data[[#This Row],[n]]/geo_data[[#This Row],[population_rec]]*100</f>
        <v>3.0429828974465285E-2</v>
      </c>
      <c r="H286" s="4">
        <f>geo_data[[#This Row],[n]]/SUMIF(geo_data[year],geo_data[[#This Row],[year]],geo_data[n])*100</f>
        <v>0.53716343794876009</v>
      </c>
    </row>
    <row r="287" spans="1:8">
      <c r="A287" s="8" t="s">
        <v>43</v>
      </c>
      <c r="B287" s="2">
        <v>2022</v>
      </c>
      <c r="C287" s="3">
        <v>3962</v>
      </c>
      <c r="D287" s="2">
        <v>6797105</v>
      </c>
      <c r="E287" s="2">
        <v>63512.800000000003</v>
      </c>
      <c r="F287" s="4">
        <f>geo_data[[#This Row],[gdp_value_rec]]/geo_data[[#This Row],[population_rec]]*100</f>
        <v>0.93440957584147966</v>
      </c>
      <c r="G287" s="4">
        <f>geo_data[[#This Row],[n]]/geo_data[[#This Row],[population_rec]]*100</f>
        <v>5.8289521789055783E-2</v>
      </c>
      <c r="H287" s="4">
        <f>geo_data[[#This Row],[n]]/SUMIF(geo_data[year],geo_data[[#This Row],[year]],geo_data[n])*100</f>
        <v>0.56276650445582665</v>
      </c>
    </row>
    <row r="288" spans="1:8">
      <c r="A288" s="8" t="s">
        <v>44</v>
      </c>
      <c r="B288" s="2">
        <v>2014</v>
      </c>
      <c r="C288" s="3">
        <v>3035</v>
      </c>
      <c r="D288" s="2">
        <v>9644864</v>
      </c>
      <c r="E288" s="2">
        <v>435639.5</v>
      </c>
      <c r="F288" s="4">
        <f>geo_data[[#This Row],[gdp_value_rec]]/geo_data[[#This Row],[population_rec]]*100</f>
        <v>4.5168029326281838</v>
      </c>
      <c r="G288" s="4">
        <f>geo_data[[#This Row],[n]]/geo_data[[#This Row],[population_rec]]*100</f>
        <v>3.1467525099368947E-2</v>
      </c>
      <c r="H288" s="4">
        <f>geo_data[[#This Row],[n]]/SUMIF(geo_data[year],geo_data[[#This Row],[year]],geo_data[n])*100</f>
        <v>1.5074752893259822</v>
      </c>
    </row>
    <row r="289" spans="1:8">
      <c r="A289" s="8" t="s">
        <v>44</v>
      </c>
      <c r="B289" s="2">
        <v>2015</v>
      </c>
      <c r="C289" s="3">
        <v>6188</v>
      </c>
      <c r="D289" s="2">
        <v>9747355</v>
      </c>
      <c r="E289" s="2">
        <v>452337.2</v>
      </c>
      <c r="F289" s="4">
        <f>geo_data[[#This Row],[gdp_value_rec]]/geo_data[[#This Row],[population_rec]]*100</f>
        <v>4.6406148129415623</v>
      </c>
      <c r="G289" s="4">
        <f>geo_data[[#This Row],[n]]/geo_data[[#This Row],[population_rec]]*100</f>
        <v>6.3483888706218253E-2</v>
      </c>
      <c r="H289" s="4">
        <f>geo_data[[#This Row],[n]]/SUMIF(geo_data[year],geo_data[[#This Row],[year]],geo_data[n])*100</f>
        <v>1.3520245409496507</v>
      </c>
    </row>
    <row r="290" spans="1:8">
      <c r="A290" s="8" t="s">
        <v>44</v>
      </c>
      <c r="B290" s="2">
        <v>2016</v>
      </c>
      <c r="C290" s="3">
        <v>6710</v>
      </c>
      <c r="D290" s="2">
        <v>9851017</v>
      </c>
      <c r="E290" s="2">
        <v>463918.8</v>
      </c>
      <c r="F290" s="4">
        <f>geo_data[[#This Row],[gdp_value_rec]]/geo_data[[#This Row],[population_rec]]*100</f>
        <v>4.7093492986561696</v>
      </c>
      <c r="G290" s="4">
        <f>geo_data[[#This Row],[n]]/geo_data[[#This Row],[population_rec]]*100</f>
        <v>6.8114794645060511E-2</v>
      </c>
      <c r="H290" s="4">
        <f>geo_data[[#This Row],[n]]/SUMIF(geo_data[year],geo_data[[#This Row],[year]],geo_data[n])*100</f>
        <v>1.3367599011873457</v>
      </c>
    </row>
    <row r="291" spans="1:8">
      <c r="A291" s="8" t="s">
        <v>44</v>
      </c>
      <c r="B291" s="2">
        <v>2017</v>
      </c>
      <c r="C291" s="3">
        <v>7085</v>
      </c>
      <c r="D291" s="2">
        <v>9995153</v>
      </c>
      <c r="E291" s="2">
        <v>474838.2</v>
      </c>
      <c r="F291" s="4">
        <f>geo_data[[#This Row],[gdp_value_rec]]/geo_data[[#This Row],[population_rec]]*100</f>
        <v>4.7506846568531769</v>
      </c>
      <c r="G291" s="4">
        <f>geo_data[[#This Row],[n]]/geo_data[[#This Row],[population_rec]]*100</f>
        <v>7.0884357648152069E-2</v>
      </c>
      <c r="H291" s="4">
        <f>geo_data[[#This Row],[n]]/SUMIF(geo_data[year],geo_data[[#This Row],[year]],geo_data[n])*100</f>
        <v>1.3263120848839733</v>
      </c>
    </row>
    <row r="292" spans="1:8">
      <c r="A292" s="8" t="s">
        <v>44</v>
      </c>
      <c r="B292" s="2">
        <v>2018</v>
      </c>
      <c r="C292" s="3">
        <v>8011</v>
      </c>
      <c r="D292" s="2">
        <v>10120242</v>
      </c>
      <c r="E292" s="2">
        <v>465753.3</v>
      </c>
      <c r="F292" s="4">
        <f>geo_data[[#This Row],[gdp_value_rec]]/geo_data[[#This Row],[population_rec]]*100</f>
        <v>4.6021952834724704</v>
      </c>
      <c r="G292" s="4">
        <f>geo_data[[#This Row],[n]]/geo_data[[#This Row],[population_rec]]*100</f>
        <v>7.9158186138236608E-2</v>
      </c>
      <c r="H292" s="4">
        <f>geo_data[[#This Row],[n]]/SUMIF(geo_data[year],geo_data[[#This Row],[year]],geo_data[n])*100</f>
        <v>1.3870324327693555</v>
      </c>
    </row>
    <row r="293" spans="1:8">
      <c r="A293" s="8" t="s">
        <v>44</v>
      </c>
      <c r="B293" s="2">
        <v>2019</v>
      </c>
      <c r="C293" s="3">
        <v>8742</v>
      </c>
      <c r="D293" s="2">
        <v>10230185</v>
      </c>
      <c r="E293" s="2">
        <v>474202.9</v>
      </c>
      <c r="F293" s="4">
        <f>geo_data[[#This Row],[gdp_value_rec]]/geo_data[[#This Row],[population_rec]]*100</f>
        <v>4.635330641625738</v>
      </c>
      <c r="G293" s="4">
        <f>geo_data[[#This Row],[n]]/geo_data[[#This Row],[population_rec]]*100</f>
        <v>8.5453000116811173E-2</v>
      </c>
      <c r="H293" s="4">
        <f>geo_data[[#This Row],[n]]/SUMIF(geo_data[year],geo_data[[#This Row],[year]],geo_data[n])*100</f>
        <v>1.4127822695986774</v>
      </c>
    </row>
    <row r="294" spans="1:8">
      <c r="A294" s="8" t="s">
        <v>44</v>
      </c>
      <c r="B294" s="2">
        <v>2020</v>
      </c>
      <c r="C294" s="3">
        <v>4484</v>
      </c>
      <c r="D294" s="2">
        <v>10327589</v>
      </c>
      <c r="E294" s="2">
        <v>478106.9</v>
      </c>
      <c r="F294" s="4">
        <f>geo_data[[#This Row],[gdp_value_rec]]/geo_data[[#This Row],[population_rec]]*100</f>
        <v>4.6294144741817282</v>
      </c>
      <c r="G294" s="4">
        <f>geo_data[[#This Row],[n]]/geo_data[[#This Row],[population_rec]]*100</f>
        <v>4.3417684417921744E-2</v>
      </c>
      <c r="H294" s="4">
        <f>geo_data[[#This Row],[n]]/SUMIF(geo_data[year],geo_data[[#This Row],[year]],geo_data[n])*100</f>
        <v>1.9254138308607252</v>
      </c>
    </row>
    <row r="295" spans="1:8">
      <c r="A295" s="8" t="s">
        <v>44</v>
      </c>
      <c r="B295" s="2">
        <v>2021</v>
      </c>
      <c r="C295" s="3">
        <v>4879</v>
      </c>
      <c r="D295" s="2">
        <v>10379295</v>
      </c>
      <c r="E295" s="2">
        <v>533953.6</v>
      </c>
      <c r="F295" s="4">
        <f>geo_data[[#This Row],[gdp_value_rec]]/geo_data[[#This Row],[population_rec]]*100</f>
        <v>5.1444110606741598</v>
      </c>
      <c r="G295" s="4">
        <f>geo_data[[#This Row],[n]]/geo_data[[#This Row],[population_rec]]*100</f>
        <v>4.7007046239653079E-2</v>
      </c>
      <c r="H295" s="4">
        <f>geo_data[[#This Row],[n]]/SUMIF(geo_data[year],geo_data[[#This Row],[year]],geo_data[n])*100</f>
        <v>1.2533813552137736</v>
      </c>
    </row>
    <row r="296" spans="1:8">
      <c r="A296" s="8" t="s">
        <v>44</v>
      </c>
      <c r="B296" s="2">
        <v>2022</v>
      </c>
      <c r="C296" s="3">
        <v>11408</v>
      </c>
      <c r="D296" s="2">
        <v>10452326</v>
      </c>
      <c r="E296" s="2">
        <v>547190.4</v>
      </c>
      <c r="F296" s="4">
        <f>geo_data[[#This Row],[gdp_value_rec]]/geo_data[[#This Row],[population_rec]]*100</f>
        <v>5.2351065207878129</v>
      </c>
      <c r="G296" s="4">
        <f>geo_data[[#This Row],[n]]/geo_data[[#This Row],[population_rec]]*100</f>
        <v>0.10914317062058723</v>
      </c>
      <c r="H296" s="4">
        <f>geo_data[[#This Row],[n]]/SUMIF(geo_data[year],geo_data[[#This Row],[year]],geo_data[n])*100</f>
        <v>1.6204039078324257</v>
      </c>
    </row>
    <row r="297" spans="1:8">
      <c r="A297" s="8" t="s">
        <v>45</v>
      </c>
      <c r="B297" s="2">
        <v>2014</v>
      </c>
      <c r="C297" s="3">
        <v>1881</v>
      </c>
      <c r="D297" s="2">
        <v>2061085</v>
      </c>
      <c r="E297" s="2">
        <v>37270.9</v>
      </c>
      <c r="F297" s="4">
        <f>geo_data[[#This Row],[gdp_value_rec]]/geo_data[[#This Row],[population_rec]]*100</f>
        <v>1.8083145527719624</v>
      </c>
      <c r="G297" s="4">
        <f>geo_data[[#This Row],[n]]/geo_data[[#This Row],[population_rec]]*100</f>
        <v>9.1262611682681696E-2</v>
      </c>
      <c r="H297" s="4">
        <f>geo_data[[#This Row],[n]]/SUMIF(geo_data[year],geo_data[[#This Row],[year]],geo_data[n])*100</f>
        <v>0.93428699150648198</v>
      </c>
    </row>
    <row r="298" spans="1:8">
      <c r="A298" s="8" t="s">
        <v>45</v>
      </c>
      <c r="B298" s="2">
        <v>2015</v>
      </c>
      <c r="C298" s="3">
        <v>4736</v>
      </c>
      <c r="D298" s="2">
        <v>2062874</v>
      </c>
      <c r="E298" s="2">
        <v>38493.9</v>
      </c>
      <c r="F298" s="4">
        <f>geo_data[[#This Row],[gdp_value_rec]]/geo_data[[#This Row],[population_rec]]*100</f>
        <v>1.8660325351911946</v>
      </c>
      <c r="G298" s="4">
        <f>geo_data[[#This Row],[n]]/geo_data[[#This Row],[population_rec]]*100</f>
        <v>0.22958261144403391</v>
      </c>
      <c r="H298" s="4">
        <f>geo_data[[#This Row],[n]]/SUMIF(geo_data[year],geo_data[[#This Row],[year]],geo_data[n])*100</f>
        <v>1.0347750849931394</v>
      </c>
    </row>
    <row r="299" spans="1:8">
      <c r="A299" s="8" t="s">
        <v>45</v>
      </c>
      <c r="B299" s="2">
        <v>2016</v>
      </c>
      <c r="C299" s="3">
        <v>4995</v>
      </c>
      <c r="D299" s="2">
        <v>2064188</v>
      </c>
      <c r="E299" s="2">
        <v>40013.199999999997</v>
      </c>
      <c r="F299" s="4">
        <f>geo_data[[#This Row],[gdp_value_rec]]/geo_data[[#This Row],[population_rec]]*100</f>
        <v>1.9384474669942853</v>
      </c>
      <c r="G299" s="4">
        <f>geo_data[[#This Row],[n]]/geo_data[[#This Row],[population_rec]]*100</f>
        <v>0.24198377279588873</v>
      </c>
      <c r="H299" s="4">
        <f>geo_data[[#This Row],[n]]/SUMIF(geo_data[year],geo_data[[#This Row],[year]],geo_data[n])*100</f>
        <v>0.99509921109251742</v>
      </c>
    </row>
    <row r="300" spans="1:8">
      <c r="A300" s="8" t="s">
        <v>45</v>
      </c>
      <c r="B300" s="2">
        <v>2017</v>
      </c>
      <c r="C300" s="3">
        <v>5126</v>
      </c>
      <c r="D300" s="2">
        <v>2065895</v>
      </c>
      <c r="E300" s="2">
        <v>42625.5</v>
      </c>
      <c r="F300" s="4">
        <f>geo_data[[#This Row],[gdp_value_rec]]/geo_data[[#This Row],[population_rec]]*100</f>
        <v>2.063294601129293</v>
      </c>
      <c r="G300" s="4">
        <f>geo_data[[#This Row],[n]]/geo_data[[#This Row],[population_rec]]*100</f>
        <v>0.24812490470232032</v>
      </c>
      <c r="H300" s="4">
        <f>geo_data[[#This Row],[n]]/SUMIF(geo_data[year],geo_data[[#This Row],[year]],geo_data[n])*100</f>
        <v>0.95958726141358486</v>
      </c>
    </row>
    <row r="301" spans="1:8">
      <c r="A301" s="8" t="s">
        <v>45</v>
      </c>
      <c r="B301" s="2">
        <v>2018</v>
      </c>
      <c r="C301" s="3">
        <v>5927</v>
      </c>
      <c r="D301" s="2">
        <v>2066880</v>
      </c>
      <c r="E301" s="2">
        <v>45462.400000000001</v>
      </c>
      <c r="F301" s="4">
        <f>geo_data[[#This Row],[gdp_value_rec]]/geo_data[[#This Row],[population_rec]]*100</f>
        <v>2.1995664963616659</v>
      </c>
      <c r="G301" s="4">
        <f>geo_data[[#This Row],[n]]/geo_data[[#This Row],[population_rec]]*100</f>
        <v>0.28676072147391235</v>
      </c>
      <c r="H301" s="4">
        <f>geo_data[[#This Row],[n]]/SUMIF(geo_data[year],geo_data[[#This Row],[year]],geo_data[n])*100</f>
        <v>1.0262066195261477</v>
      </c>
    </row>
    <row r="302" spans="1:8">
      <c r="A302" s="8" t="s">
        <v>45</v>
      </c>
      <c r="B302" s="2">
        <v>2019</v>
      </c>
      <c r="C302" s="3">
        <v>5989</v>
      </c>
      <c r="D302" s="2">
        <v>2080908</v>
      </c>
      <c r="E302" s="2">
        <v>48156.5</v>
      </c>
      <c r="F302" s="4">
        <f>geo_data[[#This Row],[gdp_value_rec]]/geo_data[[#This Row],[population_rec]]*100</f>
        <v>2.314206106180571</v>
      </c>
      <c r="G302" s="4">
        <f>geo_data[[#This Row],[n]]/geo_data[[#This Row],[population_rec]]*100</f>
        <v>0.28780705345935526</v>
      </c>
      <c r="H302" s="4">
        <f>geo_data[[#This Row],[n]]/SUMIF(geo_data[year],geo_data[[#This Row],[year]],geo_data[n])*100</f>
        <v>0.96787382894377472</v>
      </c>
    </row>
    <row r="303" spans="1:8">
      <c r="A303" s="8" t="s">
        <v>45</v>
      </c>
      <c r="B303" s="2">
        <v>2020</v>
      </c>
      <c r="C303" s="3">
        <v>2152</v>
      </c>
      <c r="D303" s="2">
        <v>2095861</v>
      </c>
      <c r="E303" s="2">
        <v>46738.7</v>
      </c>
      <c r="F303" s="4">
        <f>geo_data[[#This Row],[gdp_value_rec]]/geo_data[[#This Row],[population_rec]]*100</f>
        <v>2.2300476987739168</v>
      </c>
      <c r="G303" s="4">
        <f>geo_data[[#This Row],[n]]/geo_data[[#This Row],[population_rec]]*100</f>
        <v>0.10267856503842573</v>
      </c>
      <c r="H303" s="4">
        <f>geo_data[[#This Row],[n]]/SUMIF(geo_data[year],geo_data[[#This Row],[year]],geo_data[n])*100</f>
        <v>0.92406123193851042</v>
      </c>
    </row>
    <row r="304" spans="1:8">
      <c r="A304" s="8" t="s">
        <v>45</v>
      </c>
      <c r="B304" s="2">
        <v>2021</v>
      </c>
      <c r="C304" s="3">
        <v>3916</v>
      </c>
      <c r="D304" s="2">
        <v>2108977</v>
      </c>
      <c r="E304" s="2">
        <v>52032.4</v>
      </c>
      <c r="F304" s="4">
        <f>geo_data[[#This Row],[gdp_value_rec]]/geo_data[[#This Row],[population_rec]]*100</f>
        <v>2.467186697626385</v>
      </c>
      <c r="G304" s="4">
        <f>geo_data[[#This Row],[n]]/geo_data[[#This Row],[population_rec]]*100</f>
        <v>0.18568244224569541</v>
      </c>
      <c r="H304" s="4">
        <f>geo_data[[#This Row],[n]]/SUMIF(geo_data[year],geo_data[[#This Row],[year]],geo_data[n])*100</f>
        <v>1.0059933156419629</v>
      </c>
    </row>
    <row r="305" spans="1:8">
      <c r="A305" s="8" t="s">
        <v>45</v>
      </c>
      <c r="B305" s="2">
        <v>2022</v>
      </c>
      <c r="C305" s="3">
        <v>7648</v>
      </c>
      <c r="D305" s="2">
        <v>2107180</v>
      </c>
      <c r="E305" s="2">
        <v>56881.599999999999</v>
      </c>
      <c r="F305" s="4">
        <f>geo_data[[#This Row],[gdp_value_rec]]/geo_data[[#This Row],[population_rec]]*100</f>
        <v>2.6994181797473398</v>
      </c>
      <c r="G305" s="4">
        <f>geo_data[[#This Row],[n]]/geo_data[[#This Row],[population_rec]]*100</f>
        <v>0.36294953444888428</v>
      </c>
      <c r="H305" s="4">
        <f>geo_data[[#This Row],[n]]/SUMIF(geo_data[year],geo_data[[#This Row],[year]],geo_data[n])*100</f>
        <v>1.0863296885608689</v>
      </c>
    </row>
    <row r="306" spans="1:8">
      <c r="A306" s="8" t="s">
        <v>46</v>
      </c>
      <c r="B306" s="2">
        <v>2014</v>
      </c>
      <c r="C306" s="3">
        <v>3138</v>
      </c>
      <c r="D306" s="2">
        <v>5415949</v>
      </c>
      <c r="E306" s="2">
        <v>76562.3</v>
      </c>
      <c r="F306" s="4">
        <f>geo_data[[#This Row],[gdp_value_rec]]/geo_data[[#This Row],[population_rec]]*100</f>
        <v>1.413645143261135</v>
      </c>
      <c r="G306" s="4">
        <f>geo_data[[#This Row],[n]]/geo_data[[#This Row],[population_rec]]*100</f>
        <v>5.7939984294534536E-2</v>
      </c>
      <c r="H306" s="4">
        <f>geo_data[[#This Row],[n]]/SUMIF(geo_data[year],geo_data[[#This Row],[year]],geo_data[n])*100</f>
        <v>1.558635076739681</v>
      </c>
    </row>
    <row r="307" spans="1:8">
      <c r="A307" s="8" t="s">
        <v>46</v>
      </c>
      <c r="B307" s="2">
        <v>2015</v>
      </c>
      <c r="C307" s="3">
        <v>7574</v>
      </c>
      <c r="D307" s="2">
        <v>5421349</v>
      </c>
      <c r="E307" s="2">
        <v>80376.3</v>
      </c>
      <c r="F307" s="4">
        <f>geo_data[[#This Row],[gdp_value_rec]]/geo_data[[#This Row],[population_rec]]*100</f>
        <v>1.4825885586779231</v>
      </c>
      <c r="G307" s="4">
        <f>geo_data[[#This Row],[n]]/geo_data[[#This Row],[population_rec]]*100</f>
        <v>0.13970692534275142</v>
      </c>
      <c r="H307" s="4">
        <f>geo_data[[#This Row],[n]]/SUMIF(geo_data[year],geo_data[[#This Row],[year]],geo_data[n])*100</f>
        <v>1.6548535670899571</v>
      </c>
    </row>
    <row r="308" spans="1:8">
      <c r="A308" s="8" t="s">
        <v>46</v>
      </c>
      <c r="B308" s="2">
        <v>2016</v>
      </c>
      <c r="C308" s="3">
        <v>7815</v>
      </c>
      <c r="D308" s="2">
        <v>5426252</v>
      </c>
      <c r="E308" s="2">
        <v>81621.600000000006</v>
      </c>
      <c r="F308" s="4">
        <f>geo_data[[#This Row],[gdp_value_rec]]/geo_data[[#This Row],[population_rec]]*100</f>
        <v>1.5041984780655231</v>
      </c>
      <c r="G308" s="4">
        <f>geo_data[[#This Row],[n]]/geo_data[[#This Row],[population_rec]]*100</f>
        <v>0.14402206163665088</v>
      </c>
      <c r="H308" s="4">
        <f>geo_data[[#This Row],[n]]/SUMIF(geo_data[year],geo_data[[#This Row],[year]],geo_data[n])*100</f>
        <v>1.5568969639015062</v>
      </c>
    </row>
    <row r="309" spans="1:8">
      <c r="A309" s="8" t="s">
        <v>46</v>
      </c>
      <c r="B309" s="2">
        <v>2017</v>
      </c>
      <c r="C309" s="3">
        <v>8191</v>
      </c>
      <c r="D309" s="2">
        <v>5435343</v>
      </c>
      <c r="E309" s="2">
        <v>84960.4</v>
      </c>
      <c r="F309" s="4">
        <f>geo_data[[#This Row],[gdp_value_rec]]/geo_data[[#This Row],[population_rec]]*100</f>
        <v>1.5631101845826474</v>
      </c>
      <c r="G309" s="4">
        <f>geo_data[[#This Row],[n]]/geo_data[[#This Row],[population_rec]]*100</f>
        <v>0.15069886113903022</v>
      </c>
      <c r="H309" s="4">
        <f>geo_data[[#This Row],[n]]/SUMIF(geo_data[year],geo_data[[#This Row],[year]],geo_data[n])*100</f>
        <v>1.5333552981347391</v>
      </c>
    </row>
    <row r="310" spans="1:8">
      <c r="A310" s="8" t="s">
        <v>46</v>
      </c>
      <c r="B310" s="2">
        <v>2018</v>
      </c>
      <c r="C310" s="3">
        <v>9393</v>
      </c>
      <c r="D310" s="2">
        <v>5443120</v>
      </c>
      <c r="E310" s="2">
        <v>90275.9</v>
      </c>
      <c r="F310" s="4">
        <f>geo_data[[#This Row],[gdp_value_rec]]/geo_data[[#This Row],[population_rec]]*100</f>
        <v>1.6585322388630048</v>
      </c>
      <c r="G310" s="4">
        <f>geo_data[[#This Row],[n]]/geo_data[[#This Row],[population_rec]]*100</f>
        <v>0.17256646923088229</v>
      </c>
      <c r="H310" s="4">
        <f>geo_data[[#This Row],[n]]/SUMIF(geo_data[year],geo_data[[#This Row],[year]],geo_data[n])*100</f>
        <v>1.6263132743730566</v>
      </c>
    </row>
    <row r="311" spans="1:8">
      <c r="A311" s="8" t="s">
        <v>46</v>
      </c>
      <c r="B311" s="2">
        <v>2019</v>
      </c>
      <c r="C311" s="3">
        <v>10218</v>
      </c>
      <c r="D311" s="2">
        <v>5450421</v>
      </c>
      <c r="E311" s="2">
        <v>94547.5</v>
      </c>
      <c r="F311" s="4">
        <f>geo_data[[#This Row],[gdp_value_rec]]/geo_data[[#This Row],[population_rec]]*100</f>
        <v>1.7346825135159283</v>
      </c>
      <c r="G311" s="4">
        <f>geo_data[[#This Row],[n]]/geo_data[[#This Row],[population_rec]]*100</f>
        <v>0.18747175676888081</v>
      </c>
      <c r="H311" s="4">
        <f>geo_data[[#This Row],[n]]/SUMIF(geo_data[year],geo_data[[#This Row],[year]],geo_data[n])*100</f>
        <v>1.6513165443559008</v>
      </c>
    </row>
    <row r="312" spans="1:8">
      <c r="A312" s="8" t="s">
        <v>46</v>
      </c>
      <c r="B312" s="2">
        <v>2020</v>
      </c>
      <c r="C312" s="3">
        <v>3199</v>
      </c>
      <c r="D312" s="2">
        <v>5457873</v>
      </c>
      <c r="E312" s="2">
        <v>94320.6</v>
      </c>
      <c r="F312" s="4">
        <f>geo_data[[#This Row],[gdp_value_rec]]/geo_data[[#This Row],[population_rec]]*100</f>
        <v>1.728156737981994</v>
      </c>
      <c r="G312" s="4">
        <f>geo_data[[#This Row],[n]]/geo_data[[#This Row],[population_rec]]*100</f>
        <v>5.8612576730898647E-2</v>
      </c>
      <c r="H312" s="4">
        <f>geo_data[[#This Row],[n]]/SUMIF(geo_data[year],geo_data[[#This Row],[year]],geo_data[n])*100</f>
        <v>1.3736393498937243</v>
      </c>
    </row>
    <row r="313" spans="1:8">
      <c r="A313" s="8" t="s">
        <v>46</v>
      </c>
      <c r="B313" s="2">
        <v>2021</v>
      </c>
      <c r="C313" s="3">
        <v>6136</v>
      </c>
      <c r="D313" s="2">
        <v>5459781</v>
      </c>
      <c r="E313" s="2">
        <v>101891.6</v>
      </c>
      <c r="F313" s="4">
        <f>geo_data[[#This Row],[gdp_value_rec]]/geo_data[[#This Row],[population_rec]]*100</f>
        <v>1.8662213740807554</v>
      </c>
      <c r="G313" s="4">
        <f>geo_data[[#This Row],[n]]/geo_data[[#This Row],[population_rec]]*100</f>
        <v>0.11238546014940892</v>
      </c>
      <c r="H313" s="4">
        <f>geo_data[[#This Row],[n]]/SUMIF(geo_data[year],geo_data[[#This Row],[year]],geo_data[n])*100</f>
        <v>1.5762959613838317</v>
      </c>
    </row>
    <row r="314" spans="1:8">
      <c r="A314" s="8" t="s">
        <v>46</v>
      </c>
      <c r="B314" s="2">
        <v>2022</v>
      </c>
      <c r="C314" s="3">
        <v>12719</v>
      </c>
      <c r="D314" s="2">
        <v>5434712</v>
      </c>
      <c r="E314" s="2">
        <v>109959.8</v>
      </c>
      <c r="F314" s="4">
        <f>geo_data[[#This Row],[gdp_value_rec]]/geo_data[[#This Row],[population_rec]]*100</f>
        <v>2.0232866065395925</v>
      </c>
      <c r="G314" s="4">
        <f>geo_data[[#This Row],[n]]/geo_data[[#This Row],[population_rec]]*100</f>
        <v>0.23403264055206607</v>
      </c>
      <c r="H314" s="4">
        <f>geo_data[[#This Row],[n]]/SUMIF(geo_data[year],geo_data[[#This Row],[year]],geo_data[n])*100</f>
        <v>1.806619679498652</v>
      </c>
    </row>
    <row r="315" spans="1:8">
      <c r="A315" s="8" t="s">
        <v>47</v>
      </c>
      <c r="B315" s="2">
        <v>2014</v>
      </c>
      <c r="C315" s="3">
        <v>9484</v>
      </c>
      <c r="D315" s="2">
        <v>76667864</v>
      </c>
      <c r="E315" s="2">
        <v>709567.6</v>
      </c>
      <c r="F315" s="4">
        <f>geo_data[[#This Row],[gdp_value_rec]]/geo_data[[#This Row],[population_rec]]*100</f>
        <v>0.92550850249330019</v>
      </c>
      <c r="G315" s="4">
        <f>geo_data[[#This Row],[n]]/geo_data[[#This Row],[population_rec]]*100</f>
        <v>1.2370241591705229E-2</v>
      </c>
      <c r="H315" s="4">
        <f>geo_data[[#This Row],[n]]/SUMIF(geo_data[year],geo_data[[#This Row],[year]],geo_data[n])*100</f>
        <v>4.7106740177817512</v>
      </c>
    </row>
    <row r="316" spans="1:8">
      <c r="A316" s="8" t="s">
        <v>47</v>
      </c>
      <c r="B316" s="2">
        <v>2015</v>
      </c>
      <c r="C316" s="3">
        <v>24221</v>
      </c>
      <c r="D316" s="2">
        <v>77695904</v>
      </c>
      <c r="E316" s="2">
        <v>778072.8</v>
      </c>
      <c r="F316" s="4">
        <f>geo_data[[#This Row],[gdp_value_rec]]/geo_data[[#This Row],[population_rec]]*100</f>
        <v>1.0014334861204524</v>
      </c>
      <c r="G316" s="4">
        <f>geo_data[[#This Row],[n]]/geo_data[[#This Row],[population_rec]]*100</f>
        <v>3.1174101533074382E-2</v>
      </c>
      <c r="H316" s="4">
        <f>geo_data[[#This Row],[n]]/SUMIF(geo_data[year],geo_data[[#This Row],[year]],geo_data[n])*100</f>
        <v>5.2920792511864079</v>
      </c>
    </row>
    <row r="317" spans="1:8">
      <c r="A317" s="8" t="s">
        <v>47</v>
      </c>
      <c r="B317" s="2">
        <v>2016</v>
      </c>
      <c r="C317" s="3">
        <v>26625</v>
      </c>
      <c r="D317" s="2">
        <v>78741053</v>
      </c>
      <c r="E317" s="2">
        <v>786644.3</v>
      </c>
      <c r="F317" s="4">
        <f>geo_data[[#This Row],[gdp_value_rec]]/geo_data[[#This Row],[population_rec]]*100</f>
        <v>0.99902689896717545</v>
      </c>
      <c r="G317" s="4">
        <f>geo_data[[#This Row],[n]]/geo_data[[#This Row],[population_rec]]*100</f>
        <v>3.3813365437213548E-2</v>
      </c>
      <c r="H317" s="4">
        <f>geo_data[[#This Row],[n]]/SUMIF(geo_data[year],geo_data[[#This Row],[year]],geo_data[n])*100</f>
        <v>5.3042075065742287</v>
      </c>
    </row>
    <row r="318" spans="1:8">
      <c r="A318" s="8" t="s">
        <v>47</v>
      </c>
      <c r="B318" s="2">
        <v>2017</v>
      </c>
      <c r="C318" s="3">
        <v>30520</v>
      </c>
      <c r="D318" s="2">
        <v>79814871</v>
      </c>
      <c r="E318" s="2">
        <v>764822.9</v>
      </c>
      <c r="F318" s="4">
        <f>geo_data[[#This Row],[gdp_value_rec]]/geo_data[[#This Row],[population_rec]]*100</f>
        <v>0.95824611431120399</v>
      </c>
      <c r="G318" s="4">
        <f>geo_data[[#This Row],[n]]/geo_data[[#This Row],[population_rec]]*100</f>
        <v>3.8238488163440117E-2</v>
      </c>
      <c r="H318" s="4">
        <f>geo_data[[#This Row],[n]]/SUMIF(geo_data[year],geo_data[[#This Row],[year]],geo_data[n])*100</f>
        <v>5.7133443656540397</v>
      </c>
    </row>
    <row r="319" spans="1:8">
      <c r="A319" s="8" t="s">
        <v>47</v>
      </c>
      <c r="B319" s="2">
        <v>2018</v>
      </c>
      <c r="C319" s="3">
        <v>33124</v>
      </c>
      <c r="D319" s="2">
        <v>80810525</v>
      </c>
      <c r="E319" s="2">
        <v>666902.5</v>
      </c>
      <c r="F319" s="4">
        <f>geo_data[[#This Row],[gdp_value_rec]]/geo_data[[#This Row],[population_rec]]*100</f>
        <v>0.82526688200577836</v>
      </c>
      <c r="G319" s="4">
        <f>geo_data[[#This Row],[n]]/geo_data[[#This Row],[population_rec]]*100</f>
        <v>4.0989710189359617E-2</v>
      </c>
      <c r="H319" s="4">
        <f>geo_data[[#This Row],[n]]/SUMIF(geo_data[year],geo_data[[#This Row],[year]],geo_data[n])*100</f>
        <v>5.7351219951382006</v>
      </c>
    </row>
    <row r="320" spans="1:8">
      <c r="A320" s="8" t="s">
        <v>47</v>
      </c>
      <c r="B320" s="2">
        <v>2019</v>
      </c>
      <c r="C320" s="3">
        <v>33986</v>
      </c>
      <c r="D320" s="2">
        <v>82003882</v>
      </c>
      <c r="E320" s="2">
        <v>692385.8</v>
      </c>
      <c r="F320" s="4">
        <f>geo_data[[#This Row],[gdp_value_rec]]/geo_data[[#This Row],[population_rec]]*100</f>
        <v>0.84433295487157545</v>
      </c>
      <c r="G320" s="4">
        <f>geo_data[[#This Row],[n]]/geo_data[[#This Row],[population_rec]]*100</f>
        <v>4.1444379425842302E-2</v>
      </c>
      <c r="H320" s="4">
        <f>geo_data[[#This Row],[n]]/SUMIF(geo_data[year],geo_data[[#This Row],[year]],geo_data[n])*100</f>
        <v>5.4924294457310285</v>
      </c>
    </row>
    <row r="321" spans="1:8">
      <c r="A321" s="8" t="s">
        <v>47</v>
      </c>
      <c r="B321" s="2">
        <v>2020</v>
      </c>
      <c r="C321" s="3">
        <v>11427</v>
      </c>
      <c r="D321" s="2">
        <v>83154997</v>
      </c>
      <c r="E321" s="2">
        <v>638349.1</v>
      </c>
      <c r="F321" s="4">
        <f>geo_data[[#This Row],[gdp_value_rec]]/geo_data[[#This Row],[population_rec]]*100</f>
        <v>0.76766174376748508</v>
      </c>
      <c r="G321" s="4">
        <f>geo_data[[#This Row],[n]]/geo_data[[#This Row],[population_rec]]*100</f>
        <v>1.3741807963747507E-2</v>
      </c>
      <c r="H321" s="4">
        <f>geo_data[[#This Row],[n]]/SUMIF(geo_data[year],geo_data[[#This Row],[year]],geo_data[n])*100</f>
        <v>4.9067136140155014</v>
      </c>
    </row>
    <row r="322" spans="1:8">
      <c r="A322" s="8" t="s">
        <v>47</v>
      </c>
      <c r="B322" s="2">
        <v>2021</v>
      </c>
      <c r="C322" s="3">
        <v>22846</v>
      </c>
      <c r="D322" s="2">
        <v>83614362</v>
      </c>
      <c r="E322" s="2">
        <v>707145.8</v>
      </c>
      <c r="F322" s="4">
        <f>geo_data[[#This Row],[gdp_value_rec]]/geo_data[[#This Row],[population_rec]]*100</f>
        <v>0.84572289148125057</v>
      </c>
      <c r="G322" s="4">
        <f>geo_data[[#This Row],[n]]/geo_data[[#This Row],[population_rec]]*100</f>
        <v>2.7323057251815181E-2</v>
      </c>
      <c r="H322" s="4">
        <f>geo_data[[#This Row],[n]]/SUMIF(geo_data[year],geo_data[[#This Row],[year]],geo_data[n])*100</f>
        <v>5.8689793894678974</v>
      </c>
    </row>
    <row r="323" spans="1:8">
      <c r="A323" s="8" t="s">
        <v>47</v>
      </c>
      <c r="B323" s="2">
        <v>2022</v>
      </c>
      <c r="C323" s="3">
        <v>43084</v>
      </c>
      <c r="D323" s="2">
        <v>84680273</v>
      </c>
      <c r="E323" s="2">
        <v>880351.2</v>
      </c>
      <c r="F323" s="4">
        <f>geo_data[[#This Row],[gdp_value_rec]]/geo_data[[#This Row],[population_rec]]*100</f>
        <v>1.0396178103960529</v>
      </c>
      <c r="G323" s="4">
        <f>geo_data[[#This Row],[n]]/geo_data[[#This Row],[population_rec]]*100</f>
        <v>5.0878437767908472E-2</v>
      </c>
      <c r="H323" s="4">
        <f>geo_data[[#This Row],[n]]/SUMIF(geo_data[year],geo_data[[#This Row],[year]],geo_data[n])*100</f>
        <v>6.1196951231637646</v>
      </c>
    </row>
    <row r="324" spans="1:8">
      <c r="A324" s="8" t="s">
        <v>48</v>
      </c>
      <c r="B324" s="2">
        <v>2014</v>
      </c>
      <c r="C324" s="3">
        <v>579</v>
      </c>
      <c r="D324" s="2">
        <v>45245894</v>
      </c>
      <c r="E324" s="2">
        <v>101185.1</v>
      </c>
      <c r="F324" s="4">
        <f>geo_data[[#This Row],[gdp_value_rec]]/geo_data[[#This Row],[population_rec]]*100</f>
        <v>0.22363377326570233</v>
      </c>
      <c r="G324" s="4">
        <f>geo_data[[#This Row],[n]]/geo_data[[#This Row],[population_rec]]*100</f>
        <v>1.2796741291043999E-3</v>
      </c>
      <c r="H324" s="4">
        <f>geo_data[[#This Row],[n]]/SUMIF(geo_data[year],geo_data[[#This Row],[year]],geo_data[n])*100</f>
        <v>0.28758754284011329</v>
      </c>
    </row>
    <row r="325" spans="1:8">
      <c r="A325" s="8" t="s">
        <v>48</v>
      </c>
      <c r="B325" s="2">
        <v>2015</v>
      </c>
      <c r="C325" s="3">
        <v>1594</v>
      </c>
      <c r="D325" s="2">
        <v>42759661</v>
      </c>
      <c r="E325" s="2">
        <v>82203.600000000006</v>
      </c>
      <c r="F325" s="4">
        <f>geo_data[[#This Row],[gdp_value_rec]]/geo_data[[#This Row],[population_rec]]*100</f>
        <v>0.1922456775323827</v>
      </c>
      <c r="G325" s="4">
        <f>geo_data[[#This Row],[n]]/geo_data[[#This Row],[population_rec]]*100</f>
        <v>3.7278125287288875E-3</v>
      </c>
      <c r="H325" s="4">
        <f>geo_data[[#This Row],[n]]/SUMIF(geo_data[year],geo_data[[#This Row],[year]],geo_data[n])*100</f>
        <v>0.34827522919743753</v>
      </c>
    </row>
    <row r="326" spans="1:8">
      <c r="A326" s="8" t="s">
        <v>48</v>
      </c>
      <c r="B326" s="2">
        <v>2016</v>
      </c>
      <c r="C326" s="3">
        <v>2416</v>
      </c>
      <c r="D326" s="2">
        <v>42590879</v>
      </c>
      <c r="E326" s="2">
        <v>84254.1</v>
      </c>
      <c r="F326" s="4">
        <f>geo_data[[#This Row],[gdp_value_rec]]/geo_data[[#This Row],[population_rec]]*100</f>
        <v>0.19782193271944448</v>
      </c>
      <c r="G326" s="4">
        <f>geo_data[[#This Row],[n]]/geo_data[[#This Row],[population_rec]]*100</f>
        <v>5.6725760461529802E-3</v>
      </c>
      <c r="H326" s="4">
        <f>geo_data[[#This Row],[n]]/SUMIF(geo_data[year],geo_data[[#This Row],[year]],geo_data[n])*100</f>
        <v>0.48131325205195635</v>
      </c>
    </row>
    <row r="327" spans="1:8">
      <c r="A327" s="8" t="s">
        <v>48</v>
      </c>
      <c r="B327" s="2">
        <v>2017</v>
      </c>
      <c r="C327" s="3">
        <v>3106</v>
      </c>
      <c r="D327" s="2">
        <v>42414905</v>
      </c>
      <c r="E327" s="2">
        <v>99198.6</v>
      </c>
      <c r="F327" s="4">
        <f>geo_data[[#This Row],[gdp_value_rec]]/geo_data[[#This Row],[population_rec]]*100</f>
        <v>0.2338767468652824</v>
      </c>
      <c r="G327" s="4">
        <f>geo_data[[#This Row],[n]]/geo_data[[#This Row],[population_rec]]*100</f>
        <v>7.3228974578629846E-3</v>
      </c>
      <c r="H327" s="4">
        <f>geo_data[[#This Row],[n]]/SUMIF(geo_data[year],geo_data[[#This Row],[year]],geo_data[n])*100</f>
        <v>0.58144323721236713</v>
      </c>
    </row>
    <row r="328" spans="1:8">
      <c r="A328" s="8" t="s">
        <v>48</v>
      </c>
      <c r="B328" s="2">
        <v>2018</v>
      </c>
      <c r="C328" s="3">
        <v>3461</v>
      </c>
      <c r="D328" s="2">
        <v>42216766</v>
      </c>
      <c r="E328" s="2">
        <v>110834</v>
      </c>
      <c r="F328" s="4">
        <f>geo_data[[#This Row],[gdp_value_rec]]/geo_data[[#This Row],[population_rec]]*100</f>
        <v>0.26253550544350079</v>
      </c>
      <c r="G328" s="4">
        <f>geo_data[[#This Row],[n]]/geo_data[[#This Row],[population_rec]]*100</f>
        <v>8.198164681775956E-3</v>
      </c>
      <c r="H328" s="4">
        <f>geo_data[[#This Row],[n]]/SUMIF(geo_data[year],geo_data[[#This Row],[year]],geo_data[n])*100</f>
        <v>0.59924094992070143</v>
      </c>
    </row>
    <row r="329" spans="1:8">
      <c r="A329" s="8" t="s">
        <v>48</v>
      </c>
      <c r="B329" s="2">
        <v>2019</v>
      </c>
      <c r="C329" s="3">
        <v>3928</v>
      </c>
      <c r="D329" s="2">
        <v>41983564</v>
      </c>
      <c r="E329" s="2">
        <v>137528</v>
      </c>
      <c r="F329" s="4">
        <f>geo_data[[#This Row],[gdp_value_rec]]/geo_data[[#This Row],[population_rec]]*100</f>
        <v>0.32757581038141498</v>
      </c>
      <c r="G329" s="4">
        <f>geo_data[[#This Row],[n]]/geo_data[[#This Row],[population_rec]]*100</f>
        <v>9.3560422835945994E-3</v>
      </c>
      <c r="H329" s="4">
        <f>geo_data[[#This Row],[n]]/SUMIF(geo_data[year],geo_data[[#This Row],[year]],geo_data[n])*100</f>
        <v>0.63479853065472491</v>
      </c>
    </row>
    <row r="330" spans="1:8">
      <c r="A330" s="8" t="s">
        <v>48</v>
      </c>
      <c r="B330" s="2">
        <v>2020</v>
      </c>
      <c r="C330" s="3">
        <v>1070</v>
      </c>
      <c r="D330" s="2">
        <v>41732779</v>
      </c>
      <c r="E330" s="2">
        <v>136595.29999999999</v>
      </c>
      <c r="F330" s="4">
        <f>geo_data[[#This Row],[gdp_value_rec]]/geo_data[[#This Row],[population_rec]]*100</f>
        <v>0.3273093795167582</v>
      </c>
      <c r="G330" s="4">
        <f>geo_data[[#This Row],[n]]/geo_data[[#This Row],[population_rec]]*100</f>
        <v>2.5639318196375087E-3</v>
      </c>
      <c r="H330" s="4">
        <f>geo_data[[#This Row],[n]]/SUMIF(geo_data[year],geo_data[[#This Row],[year]],geo_data[n])*100</f>
        <v>0.45945423706979838</v>
      </c>
    </row>
    <row r="331" spans="1:8">
      <c r="A331" s="8" t="s">
        <v>48</v>
      </c>
      <c r="B331" s="2">
        <v>2021</v>
      </c>
      <c r="C331" s="3">
        <v>2074</v>
      </c>
      <c r="D331" s="2">
        <v>41418717</v>
      </c>
      <c r="E331" s="2">
        <v>168960.3</v>
      </c>
      <c r="F331" s="4">
        <f>geo_data[[#This Row],[gdp_value_rec]]/geo_data[[#This Row],[population_rec]]*100</f>
        <v>0.40793223990979721</v>
      </c>
      <c r="G331" s="4">
        <f>geo_data[[#This Row],[n]]/geo_data[[#This Row],[population_rec]]*100</f>
        <v>5.0073979838631891E-3</v>
      </c>
      <c r="H331" s="4">
        <f>geo_data[[#This Row],[n]]/SUMIF(geo_data[year],geo_data[[#This Row],[year]],geo_data[n])*100</f>
        <v>0.53279625552641252</v>
      </c>
    </row>
    <row r="332" spans="1:8">
      <c r="A332" s="8" t="s">
        <v>48</v>
      </c>
      <c r="B332" s="2">
        <v>2022</v>
      </c>
      <c r="C332" s="3">
        <v>6480</v>
      </c>
      <c r="D332" s="2">
        <v>40997698</v>
      </c>
      <c r="E332" s="2">
        <v>154006.29999999999</v>
      </c>
      <c r="F332" s="4">
        <f>geo_data[[#This Row],[gdp_value_rec]]/geo_data[[#This Row],[population_rec]]*100</f>
        <v>0.37564621311177032</v>
      </c>
      <c r="G332" s="4">
        <f>geo_data[[#This Row],[n]]/geo_data[[#This Row],[population_rec]]*100</f>
        <v>1.5805765484686481E-2</v>
      </c>
      <c r="H332" s="4">
        <f>geo_data[[#This Row],[n]]/SUMIF(geo_data[year],geo_data[[#This Row],[year]],geo_data[n])*100</f>
        <v>0.9204257821488534</v>
      </c>
    </row>
    <row r="333" spans="1:8">
      <c r="A333" s="8" t="s">
        <v>49</v>
      </c>
      <c r="B333" s="2">
        <v>2014</v>
      </c>
      <c r="C333" s="3">
        <v>11306</v>
      </c>
      <c r="D333" s="2">
        <v>64351203</v>
      </c>
      <c r="E333" s="2">
        <v>2311080.2000000002</v>
      </c>
      <c r="F333" s="4">
        <f>geo_data[[#This Row],[gdp_value_rec]]/geo_data[[#This Row],[population_rec]]*100</f>
        <v>3.5913550831365195</v>
      </c>
      <c r="G333" s="4">
        <f>geo_data[[#This Row],[n]]/geo_data[[#This Row],[population_rec]]*100</f>
        <v>1.7569213119450151E-2</v>
      </c>
      <c r="H333" s="4">
        <f>geo_data[[#This Row],[n]]/SUMIF(geo_data[year],geo_data[[#This Row],[year]],geo_data[n])*100</f>
        <v>5.6156558883425225</v>
      </c>
    </row>
    <row r="334" spans="1:8">
      <c r="A334" s="8" t="s">
        <v>49</v>
      </c>
      <c r="B334" s="2">
        <v>2015</v>
      </c>
      <c r="C334" s="3">
        <v>23072</v>
      </c>
      <c r="D334" s="2">
        <v>64853393</v>
      </c>
      <c r="E334" s="2">
        <v>2644716.5</v>
      </c>
      <c r="F334" s="4">
        <f>geo_data[[#This Row],[gdp_value_rec]]/geo_data[[#This Row],[population_rec]]*100</f>
        <v>4.0779924960903742</v>
      </c>
      <c r="G334" s="4">
        <f>geo_data[[#This Row],[n]]/geo_data[[#This Row],[population_rec]]*100</f>
        <v>3.5575625164284003E-2</v>
      </c>
      <c r="H334" s="4">
        <f>geo_data[[#This Row],[n]]/SUMIF(geo_data[year],geo_data[[#This Row],[year]],geo_data[n])*100</f>
        <v>5.0410326775679293</v>
      </c>
    </row>
    <row r="335" spans="1:8">
      <c r="A335" s="8" t="s">
        <v>49</v>
      </c>
      <c r="B335" s="2">
        <v>2016</v>
      </c>
      <c r="C335" s="3">
        <v>26226</v>
      </c>
      <c r="D335" s="2">
        <v>65379044</v>
      </c>
      <c r="E335" s="2">
        <v>2434119.2000000002</v>
      </c>
      <c r="F335" s="4">
        <f>geo_data[[#This Row],[gdp_value_rec]]/geo_data[[#This Row],[population_rec]]*100</f>
        <v>3.723087783296434</v>
      </c>
      <c r="G335" s="4">
        <f>geo_data[[#This Row],[n]]/geo_data[[#This Row],[population_rec]]*100</f>
        <v>4.0113771012008068E-2</v>
      </c>
      <c r="H335" s="4">
        <f>geo_data[[#This Row],[n]]/SUMIF(geo_data[year],geo_data[[#This Row],[year]],geo_data[n])*100</f>
        <v>5.2247191011235952</v>
      </c>
    </row>
    <row r="336" spans="1:8">
      <c r="A336" s="8" t="s">
        <v>49</v>
      </c>
      <c r="B336" s="2">
        <v>2017</v>
      </c>
      <c r="C336" s="3">
        <v>27621</v>
      </c>
      <c r="D336" s="2">
        <v>65844142</v>
      </c>
      <c r="E336" s="2">
        <v>2359789.9</v>
      </c>
      <c r="F336" s="4">
        <f>geo_data[[#This Row],[gdp_value_rec]]/geo_data[[#This Row],[population_rec]]*100</f>
        <v>3.5839025740513106</v>
      </c>
      <c r="G336" s="4">
        <f>geo_data[[#This Row],[n]]/geo_data[[#This Row],[population_rec]]*100</f>
        <v>4.194906207449707E-2</v>
      </c>
      <c r="H336" s="4">
        <f>geo_data[[#This Row],[n]]/SUMIF(geo_data[year],geo_data[[#This Row],[year]],geo_data[n])*100</f>
        <v>5.170651530921698</v>
      </c>
    </row>
    <row r="337" spans="1:39">
      <c r="A337" s="8" t="s">
        <v>49</v>
      </c>
      <c r="B337" s="2">
        <v>2018</v>
      </c>
      <c r="C337" s="3">
        <v>29545</v>
      </c>
      <c r="D337" s="2">
        <v>66273576</v>
      </c>
      <c r="E337" s="2">
        <v>2420897.2000000002</v>
      </c>
      <c r="F337" s="4">
        <f>geo_data[[#This Row],[gdp_value_rec]]/geo_data[[#This Row],[population_rec]]*100</f>
        <v>3.6528845221812087</v>
      </c>
      <c r="G337" s="4">
        <f>geo_data[[#This Row],[n]]/geo_data[[#This Row],[population_rec]]*100</f>
        <v>4.4580361862471399E-2</v>
      </c>
      <c r="H337" s="4">
        <f>geo_data[[#This Row],[n]]/SUMIF(geo_data[year],geo_data[[#This Row],[year]],geo_data[n])*100</f>
        <v>5.1154504089590072</v>
      </c>
    </row>
    <row r="338" spans="1:39">
      <c r="A338" s="8" t="s">
        <v>49</v>
      </c>
      <c r="B338" s="2">
        <v>2019</v>
      </c>
      <c r="C338" s="3">
        <v>29521</v>
      </c>
      <c r="D338" s="2">
        <v>66647112</v>
      </c>
      <c r="E338" s="2">
        <v>2526615.2000000002</v>
      </c>
      <c r="F338" s="4">
        <f>geo_data[[#This Row],[gdp_value_rec]]/geo_data[[#This Row],[population_rec]]*100</f>
        <v>3.7910347863235243</v>
      </c>
      <c r="G338" s="4">
        <f>geo_data[[#This Row],[n]]/geo_data[[#This Row],[population_rec]]*100</f>
        <v>4.4294492460528523E-2</v>
      </c>
      <c r="H338" s="4">
        <f>geo_data[[#This Row],[n]]/SUMIF(geo_data[year],geo_data[[#This Row],[year]],geo_data[n])*100</f>
        <v>4.770847103731704</v>
      </c>
    </row>
    <row r="339" spans="1:39">
      <c r="A339" s="8" t="s">
        <v>50</v>
      </c>
      <c r="B339" s="2">
        <v>2014</v>
      </c>
      <c r="C339" s="3">
        <v>55</v>
      </c>
      <c r="D339" s="2">
        <v>1793000</v>
      </c>
      <c r="E339" s="2">
        <v>5325.1</v>
      </c>
      <c r="F339" s="4">
        <f>geo_data[[#This Row],[gdp_value_rec]]/geo_data[[#This Row],[population_rec]]*100</f>
        <v>0.29699386503067488</v>
      </c>
      <c r="G339" s="4">
        <f>geo_data[[#This Row],[n]]/geo_data[[#This Row],[population_rec]]*100</f>
        <v>3.0674846625766872E-3</v>
      </c>
      <c r="H339" s="4">
        <f>geo_data[[#This Row],[n]]/SUMIF(geo_data[year],geo_data[[#This Row],[year]],geo_data[n])*100</f>
        <v>2.7318333084984853E-2</v>
      </c>
    </row>
    <row r="340" spans="1:39">
      <c r="A340" s="8" t="s">
        <v>50</v>
      </c>
      <c r="B340" s="2">
        <v>2015</v>
      </c>
      <c r="C340" s="3">
        <v>212</v>
      </c>
      <c r="D340" s="2">
        <v>1745000</v>
      </c>
      <c r="E340" s="2">
        <v>5674.4</v>
      </c>
      <c r="F340" s="4">
        <f>geo_data[[#This Row],[gdp_value_rec]]/geo_data[[#This Row],[population_rec]]*100</f>
        <v>0.32518051575931228</v>
      </c>
      <c r="G340" s="4">
        <f>geo_data[[#This Row],[n]]/geo_data[[#This Row],[population_rec]]*100</f>
        <v>1.2148997134670486E-2</v>
      </c>
      <c r="H340" s="4">
        <f>geo_data[[#This Row],[n]]/SUMIF(geo_data[year],geo_data[[#This Row],[year]],geo_data[n])*100</f>
        <v>4.6320168500537488E-2</v>
      </c>
    </row>
    <row r="341" spans="1:39">
      <c r="A341" s="8" t="s">
        <v>50</v>
      </c>
      <c r="B341" s="2">
        <v>2016</v>
      </c>
      <c r="C341" s="3">
        <v>349</v>
      </c>
      <c r="D341" s="2">
        <v>1771604</v>
      </c>
      <c r="E341" s="2">
        <v>6037.3</v>
      </c>
      <c r="F341" s="4">
        <f>geo_data[[#This Row],[gdp_value_rec]]/geo_data[[#This Row],[population_rec]]*100</f>
        <v>0.34078157421184418</v>
      </c>
      <c r="G341" s="4">
        <f>geo_data[[#This Row],[n]]/geo_data[[#This Row],[population_rec]]*100</f>
        <v>1.9699662001214719E-2</v>
      </c>
      <c r="H341" s="4">
        <f>geo_data[[#This Row],[n]]/SUMIF(geo_data[year],geo_data[[#This Row],[year]],geo_data[n])*100</f>
        <v>6.9527452386644359E-2</v>
      </c>
    </row>
    <row r="342" spans="1:39">
      <c r="A342" s="8" t="s">
        <v>50</v>
      </c>
      <c r="B342" s="2">
        <v>2017</v>
      </c>
      <c r="C342" s="3">
        <v>488</v>
      </c>
      <c r="D342" s="2">
        <v>1783531</v>
      </c>
      <c r="E342" s="2">
        <v>6356.5</v>
      </c>
      <c r="F342" s="4">
        <f>geo_data[[#This Row],[gdp_value_rec]]/geo_data[[#This Row],[population_rec]]*100</f>
        <v>0.3563997485886144</v>
      </c>
      <c r="G342" s="4">
        <f>geo_data[[#This Row],[n]]/geo_data[[#This Row],[population_rec]]*100</f>
        <v>2.7361453207149188E-2</v>
      </c>
      <c r="H342" s="4">
        <f>geo_data[[#This Row],[n]]/SUMIF(geo_data[year],geo_data[[#This Row],[year]],geo_data[n])*100</f>
        <v>9.135360584663077E-2</v>
      </c>
    </row>
    <row r="343" spans="1:39">
      <c r="A343" s="8" t="s">
        <v>50</v>
      </c>
      <c r="B343" s="2">
        <v>2018</v>
      </c>
      <c r="C343" s="3">
        <v>610</v>
      </c>
      <c r="D343" s="2">
        <v>1798506</v>
      </c>
      <c r="E343" s="2">
        <v>6671.5</v>
      </c>
      <c r="F343" s="4">
        <f>geo_data[[#This Row],[gdp_value_rec]]/geo_data[[#This Row],[population_rec]]*100</f>
        <v>0.37094677471189974</v>
      </c>
      <c r="G343" s="4">
        <f>geo_data[[#This Row],[n]]/geo_data[[#This Row],[population_rec]]*100</f>
        <v>3.3917040032115542E-2</v>
      </c>
      <c r="H343" s="4">
        <f>geo_data[[#This Row],[n]]/SUMIF(geo_data[year],geo_data[[#This Row],[year]],geo_data[n])*100</f>
        <v>0.10561600099729207</v>
      </c>
    </row>
    <row r="344" spans="1:39">
      <c r="A344" s="8" t="s">
        <v>50</v>
      </c>
      <c r="B344" s="2">
        <v>2019</v>
      </c>
      <c r="C344" s="3">
        <v>617</v>
      </c>
      <c r="D344" s="2">
        <v>1795666</v>
      </c>
      <c r="E344" s="2">
        <v>7056.2</v>
      </c>
      <c r="F344" s="4">
        <f>geo_data[[#This Row],[gdp_value_rec]]/geo_data[[#This Row],[population_rec]]*100</f>
        <v>0.39295726488110816</v>
      </c>
      <c r="G344" s="4">
        <f>geo_data[[#This Row],[n]]/geo_data[[#This Row],[population_rec]]*100</f>
        <v>3.4360510250792745E-2</v>
      </c>
      <c r="H344" s="4">
        <f>geo_data[[#This Row],[n]]/SUMIF(geo_data[year],geo_data[[#This Row],[year]],geo_data[n])*100</f>
        <v>9.9712498323310916E-2</v>
      </c>
    </row>
    <row r="345" spans="1:39">
      <c r="A345" s="8" t="s">
        <v>50</v>
      </c>
      <c r="B345" s="2">
        <v>2020</v>
      </c>
      <c r="C345" s="3">
        <v>239</v>
      </c>
      <c r="D345" s="2">
        <v>1782115</v>
      </c>
      <c r="E345" s="2">
        <v>6771.6</v>
      </c>
      <c r="F345" s="4">
        <f>geo_data[[#This Row],[gdp_value_rec]]/geo_data[[#This Row],[population_rec]]*100</f>
        <v>0.379975478574615</v>
      </c>
      <c r="G345" s="4">
        <f>geo_data[[#This Row],[n]]/geo_data[[#This Row],[population_rec]]*100</f>
        <v>1.3411031274637159E-2</v>
      </c>
      <c r="H345" s="4">
        <f>geo_data[[#This Row],[n]]/SUMIF(geo_data[year],geo_data[[#This Row],[year]],geo_data[n])*100</f>
        <v>0.10262575949502974</v>
      </c>
    </row>
    <row r="346" spans="1:39">
      <c r="A346" s="8" t="s">
        <v>50</v>
      </c>
      <c r="B346" s="2">
        <v>2021</v>
      </c>
      <c r="C346" s="3">
        <v>471</v>
      </c>
      <c r="D346" s="2">
        <v>1798186</v>
      </c>
      <c r="E346" s="2">
        <v>7957.9</v>
      </c>
      <c r="F346" s="4">
        <f>geo_data[[#This Row],[gdp_value_rec]]/geo_data[[#This Row],[population_rec]]*100</f>
        <v>0.44255154917233258</v>
      </c>
      <c r="G346" s="4">
        <f>geo_data[[#This Row],[n]]/geo_data[[#This Row],[population_rec]]*100</f>
        <v>2.6193063453947479E-2</v>
      </c>
      <c r="H346" s="4">
        <f>geo_data[[#This Row],[n]]/SUMIF(geo_data[year],geo_data[[#This Row],[year]],geo_data[n])*100</f>
        <v>0.12099664240739645</v>
      </c>
    </row>
    <row r="347" spans="1:39">
      <c r="A347" s="8" t="s">
        <v>50</v>
      </c>
      <c r="B347" s="2">
        <v>2022</v>
      </c>
      <c r="C347" s="3">
        <v>820</v>
      </c>
      <c r="D347" s="2">
        <v>1773971</v>
      </c>
      <c r="E347" s="2">
        <v>8895.7000000000007</v>
      </c>
      <c r="F347" s="4">
        <f>geo_data[[#This Row],[gdp_value_rec]]/geo_data[[#This Row],[population_rec]]*100</f>
        <v>0.50145690093017314</v>
      </c>
      <c r="G347" s="4">
        <f>geo_data[[#This Row],[n]]/geo_data[[#This Row],[population_rec]]*100</f>
        <v>4.6223979986144081E-2</v>
      </c>
      <c r="H347" s="4">
        <f>geo_data[[#This Row],[n]]/SUMIF(geo_data[year],geo_data[[#This Row],[year]],geo_data[n])*100</f>
        <v>0.11647363292624378</v>
      </c>
    </row>
    <row r="349" spans="1:39">
      <c r="A349" s="22" t="s">
        <v>6</v>
      </c>
      <c r="B349" s="22" t="s">
        <v>12</v>
      </c>
      <c r="C349" s="22" t="s">
        <v>13</v>
      </c>
      <c r="D349" s="22" t="s">
        <v>14</v>
      </c>
      <c r="E349" s="22" t="s">
        <v>15</v>
      </c>
      <c r="F349" s="22" t="s">
        <v>16</v>
      </c>
      <c r="G349" s="22" t="s">
        <v>17</v>
      </c>
      <c r="H349" s="22" t="s">
        <v>18</v>
      </c>
      <c r="I349" s="22" t="s">
        <v>19</v>
      </c>
      <c r="J349" s="22" t="s">
        <v>20</v>
      </c>
      <c r="K349" s="22" t="s">
        <v>21</v>
      </c>
      <c r="L349" s="22" t="s">
        <v>22</v>
      </c>
      <c r="M349" s="22" t="s">
        <v>23</v>
      </c>
      <c r="N349" s="22" t="s">
        <v>24</v>
      </c>
      <c r="O349" s="22" t="s">
        <v>25</v>
      </c>
      <c r="P349" s="22" t="s">
        <v>26</v>
      </c>
      <c r="Q349" s="22" t="s">
        <v>27</v>
      </c>
      <c r="R349" s="22" t="s">
        <v>28</v>
      </c>
      <c r="S349" s="22" t="s">
        <v>29</v>
      </c>
      <c r="T349" s="22" t="s">
        <v>30</v>
      </c>
      <c r="U349" s="22" t="s">
        <v>31</v>
      </c>
      <c r="V349" s="22" t="s">
        <v>32</v>
      </c>
      <c r="W349" s="22" t="s">
        <v>33</v>
      </c>
      <c r="X349" s="22" t="s">
        <v>34</v>
      </c>
      <c r="Y349" s="22" t="s">
        <v>35</v>
      </c>
      <c r="Z349" s="22" t="s">
        <v>36</v>
      </c>
      <c r="AA349" s="22" t="s">
        <v>37</v>
      </c>
      <c r="AB349" s="22" t="s">
        <v>38</v>
      </c>
      <c r="AC349" s="22" t="s">
        <v>39</v>
      </c>
      <c r="AD349" s="22" t="s">
        <v>40</v>
      </c>
      <c r="AE349" s="22" t="s">
        <v>41</v>
      </c>
      <c r="AF349" s="22" t="s">
        <v>42</v>
      </c>
      <c r="AG349" s="22" t="s">
        <v>43</v>
      </c>
      <c r="AH349" s="22" t="s">
        <v>44</v>
      </c>
      <c r="AI349" s="22" t="s">
        <v>45</v>
      </c>
      <c r="AJ349" s="22" t="s">
        <v>46</v>
      </c>
      <c r="AK349" s="22" t="s">
        <v>47</v>
      </c>
      <c r="AL349" s="22" t="s">
        <v>48</v>
      </c>
      <c r="AM349" s="22" t="s">
        <v>50</v>
      </c>
    </row>
    <row r="350" spans="1:39">
      <c r="A350" s="11">
        <v>2014</v>
      </c>
      <c r="B350" s="11">
        <f>SUMIFS(
    geo_data[n],
    geo_data[year], $A350,
    geo_data[CNTR_ID], B$349
)</f>
        <v>153</v>
      </c>
      <c r="C350" s="11">
        <f>SUMIFS(
    geo_data[n],
    geo_data[year], $A350,
    geo_data[CNTR_ID], C$349
)</f>
        <v>5593</v>
      </c>
      <c r="D350" s="11">
        <f>SUMIFS(
    geo_data[n],
    geo_data[year], $A350,
    geo_data[CNTR_ID], $D$349
)</f>
        <v>5495</v>
      </c>
      <c r="E350" s="21">
        <f>SUMIFS(
    geo_data[n],
    geo_data[year], $A350,
    geo_data[CNTR_ID], E$349
)</f>
        <v>2000</v>
      </c>
      <c r="F350" s="21">
        <f>SUMIFS(
    geo_data[n],
    geo_data[year], $A350,
    geo_data[CNTR_ID], F$349
)</f>
        <v>0</v>
      </c>
      <c r="G350" s="11">
        <f>SUMIFS( geo_data[n],
    geo_data[year], $A350,
    geo_data[CNTR_ID], G$349
)</f>
        <v>535</v>
      </c>
      <c r="H350" s="11">
        <f>SUMIFS(
    geo_data[n],
    geo_data[year], $A350,
    geo_data[CNTR_ID], H$349
)</f>
        <v>6429</v>
      </c>
      <c r="I350" s="11">
        <f>SUMIFS(
    geo_data[n],
    geo_data[year], $A350,
    geo_data[CNTR_ID], I$349
)</f>
        <v>29827</v>
      </c>
      <c r="J350" s="11">
        <f>SUMIFS(
    geo_data[n],
    geo_data[year], $A350,
    geo_data[CNTR_ID], J$349
)</f>
        <v>2725</v>
      </c>
      <c r="K350" s="11">
        <f>SUMIFS(
    geo_data[n],
    geo_data[year], $A350,
    geo_data[CNTR_ID], K$349
)</f>
        <v>1250</v>
      </c>
      <c r="L350" s="11">
        <f>SUMIFS(
    geo_data[n],
    geo_data[year], $A350,
    geo_data[CNTR_ID], L$349
)</f>
        <v>26149</v>
      </c>
      <c r="M350" s="11">
        <f>SUMIFS(
    geo_data[n],
    geo_data[year], $A350,
    geo_data[CNTR_ID], M$349
)</f>
        <v>3846</v>
      </c>
      <c r="N350" s="11">
        <f>SUMIFS(
    geo_data[n],
    geo_data[year], $A350,
    geo_data[CNTR_ID], N$349
)</f>
        <v>22463</v>
      </c>
      <c r="O350" s="11">
        <f>SUMIFS(
    geo_data[n],
    geo_data[year], $A350,
    geo_data[CNTR_ID], O$349
)</f>
        <v>1612</v>
      </c>
      <c r="P350" s="11">
        <f>SUMIFS(
    geo_data[n],
    geo_data[year], $A350,
    geo_data[CNTR_ID], P$349
)</f>
        <v>3847</v>
      </c>
      <c r="Q350" s="11">
        <f>SUMIFS(
    geo_data[n],
    geo_data[year], $A350,
    geo_data[CNTR_ID], Q$349
)</f>
        <v>1978</v>
      </c>
      <c r="R350" s="11">
        <f>SUMIFS(
    geo_data[n],
    geo_data[year], $A350,
    geo_data[CNTR_ID], R$349
)</f>
        <v>386</v>
      </c>
      <c r="S350" s="11">
        <f>SUMIFS(
    geo_data[n],
    geo_data[year], $A350,
    geo_data[CNTR_ID], S$349
)</f>
        <v>20474</v>
      </c>
      <c r="T350" s="11">
        <f>SUMIFS(
    geo_data[n],
    geo_data[year], $A350,
    geo_data[CNTR_ID], T$349
)</f>
        <v>51</v>
      </c>
      <c r="U350" s="11">
        <f>SUMIFS(
    geo_data[n],
    geo_data[year], $A350,
    geo_data[CNTR_ID], U$349
)</f>
        <v>3275</v>
      </c>
      <c r="V350" s="11">
        <f>SUMIFS(
    geo_data[n],
    geo_data[year], $A350,
    geo_data[CNTR_ID], V$349
)</f>
        <v>391</v>
      </c>
      <c r="W350" s="11">
        <f>SUMIFS(
    geo_data[n],
    geo_data[year], $A350,
    geo_data[CNTR_ID], W$349
)</f>
        <v>1656</v>
      </c>
      <c r="X350" s="11">
        <f>SUMIFS(
    geo_data[n],
    geo_data[year], $A350,
    geo_data[CNTR_ID], X$349
)</f>
        <v>150</v>
      </c>
      <c r="Y350" s="11">
        <f>SUMIFS(
    geo_data[n],
    geo_data[year], $A350,
    geo_data[CNTR_ID], Y$349
)</f>
        <v>58</v>
      </c>
      <c r="Z350" s="11">
        <f>SUMIFS(
    geo_data[n],
    geo_data[year], $A350,
    geo_data[CNTR_ID], Z$349
)</f>
        <v>726</v>
      </c>
      <c r="AA350" s="11">
        <f>SUMIFS(
    geo_data[n],
    geo_data[year], $A350,
    geo_data[CNTR_ID], AA$349
)</f>
        <v>451</v>
      </c>
      <c r="AB350" s="11">
        <f>SUMIFS(
    geo_data[n],
    geo_data[year], $A350,
    geo_data[CNTR_ID], AB$349
)</f>
        <v>8024</v>
      </c>
      <c r="AC350" s="11">
        <f>SUMIFS(
    geo_data[n],
    geo_data[year], $A350,
    geo_data[CNTR_ID], AC$349
)</f>
        <v>1376</v>
      </c>
      <c r="AD350" s="11">
        <f>SUMIFS(
    geo_data[n],
    geo_data[year], $A350,
    geo_data[CNTR_ID], AD$349
)</f>
        <v>10073</v>
      </c>
      <c r="AE350" s="11">
        <f>SUMIFS(
    geo_data[n],
    geo_data[year], $A350,
    geo_data[CNTR_ID], AE$349
)</f>
        <v>5176</v>
      </c>
      <c r="AF350" s="11">
        <f>SUMIFS(
    geo_data[n],
    geo_data[year], $A350,
    geo_data[CNTR_ID], AF$349
)</f>
        <v>5286</v>
      </c>
      <c r="AG350" s="11">
        <f>SUMIFS(
    geo_data[n],
    geo_data[year], $A350,
    geo_data[CNTR_ID], AG$349
)</f>
        <v>397</v>
      </c>
      <c r="AH350" s="11">
        <f>SUMIFS(
    geo_data[n],
    geo_data[year], $A350,
    geo_data[CNTR_ID], AH$349
)</f>
        <v>3035</v>
      </c>
      <c r="AI350" s="11">
        <f>SUMIFS(
    geo_data[n],
    geo_data[year], $A350,
    geo_data[CNTR_ID], AI$349
)</f>
        <v>1881</v>
      </c>
      <c r="AJ350" s="11">
        <f>SUMIFS(
    geo_data[n],
    geo_data[year], $A350,
    geo_data[CNTR_ID], AJ$349
)</f>
        <v>3138</v>
      </c>
      <c r="AK350" s="11">
        <f>SUMIFS(
    geo_data[n],
    geo_data[year], $A350,
    geo_data[CNTR_ID], AK$349
)</f>
        <v>9484</v>
      </c>
      <c r="AL350" s="11">
        <f>SUMIFS(
    geo_data[n],
    geo_data[year], $A350,
    geo_data[CNTR_ID], AL$349
)</f>
        <v>579</v>
      </c>
      <c r="AM350" s="11">
        <f>SUMIFS(
    geo_data[n],
    geo_data[year], $A350,
    geo_data[CNTR_ID], AM$349
)</f>
        <v>55</v>
      </c>
    </row>
    <row r="351" spans="1:39">
      <c r="A351" s="11">
        <v>2015</v>
      </c>
      <c r="B351" s="11">
        <f>SUMIFS(
    geo_data[n],
    geo_data[year], $A351,
    geo_data[CNTR_ID], B$349
)</f>
        <v>554</v>
      </c>
      <c r="C351" s="11">
        <f>SUMIFS(
    geo_data[n],
    geo_data[year], $A351,
    geo_data[CNTR_ID], C$349
)</f>
        <v>10931</v>
      </c>
      <c r="D351" s="11">
        <f>SUMIFS(
    geo_data[n],
    geo_data[year], $A351,
    geo_data[CNTR_ID], $D$349
)</f>
        <v>12579</v>
      </c>
      <c r="E351" s="11">
        <f>SUMIFS(
    geo_data[n],
    geo_data[year], $A351,
    geo_data[CNTR_ID], E$349
)</f>
        <v>6899</v>
      </c>
      <c r="F351" s="11">
        <f>SUMIFS(
    geo_data[n],
    geo_data[year], $A351,
    geo_data[CNTR_ID], F$349
)</f>
        <v>0</v>
      </c>
      <c r="G351" s="11">
        <f>SUMIFS( geo_data[n],
    geo_data[year], $A351,
    geo_data[CNTR_ID], G$349
)</f>
        <v>1188</v>
      </c>
      <c r="H351" s="11">
        <f>SUMIFS(
    geo_data[n],
    geo_data[year], $A351,
    geo_data[CNTR_ID], H$349
)</f>
        <v>15229</v>
      </c>
      <c r="I351" s="11">
        <f>SUMIFS(
    geo_data[n],
    geo_data[year], $A351,
    geo_data[CNTR_ID], I$349
)</f>
        <v>54860</v>
      </c>
      <c r="J351" s="11">
        <f>SUMIFS(
    geo_data[n],
    geo_data[year], $A351,
    geo_data[CNTR_ID], J$349
)</f>
        <v>5804</v>
      </c>
      <c r="K351" s="11">
        <f>SUMIFS(
    geo_data[n],
    geo_data[year], $A351,
    geo_data[CNTR_ID], K$349
)</f>
        <v>4091</v>
      </c>
      <c r="L351" s="11">
        <f>SUMIFS(
    geo_data[n],
    geo_data[year], $A351,
    geo_data[CNTR_ID], L$349
)</f>
        <v>47942</v>
      </c>
      <c r="M351" s="11">
        <f>SUMIFS(
    geo_data[n],
    geo_data[year], $A351,
    geo_data[CNTR_ID], M$349
)</f>
        <v>10189</v>
      </c>
      <c r="N351" s="11">
        <f>SUMIFS(
    geo_data[n],
    geo_data[year], $A351,
    geo_data[CNTR_ID], N$349
)</f>
        <v>51562</v>
      </c>
      <c r="O351" s="11">
        <f>SUMIFS(
    geo_data[n],
    geo_data[year], $A351,
    geo_data[CNTR_ID], O$349
)</f>
        <v>4836</v>
      </c>
      <c r="P351" s="11">
        <f>SUMIFS(
    geo_data[n],
    geo_data[year], $A351,
    geo_data[CNTR_ID], P$349
)</f>
        <v>9829</v>
      </c>
      <c r="Q351" s="11">
        <f>SUMIFS(
    geo_data[n],
    geo_data[year], $A351,
    geo_data[CNTR_ID], Q$349
)</f>
        <v>4521</v>
      </c>
      <c r="R351" s="11">
        <f>SUMIFS(
    geo_data[n],
    geo_data[year], $A351,
    geo_data[CNTR_ID], R$349
)</f>
        <v>849</v>
      </c>
      <c r="S351" s="11">
        <f>SUMIFS(
    geo_data[n],
    geo_data[year], $A351,
    geo_data[CNTR_ID], S$349
)</f>
        <v>46853</v>
      </c>
      <c r="T351" s="11">
        <f>SUMIFS(
    geo_data[n],
    geo_data[year], $A351,
    geo_data[CNTR_ID], T$349
)</f>
        <v>137</v>
      </c>
      <c r="U351" s="11">
        <f>SUMIFS(
    geo_data[n],
    geo_data[year], $A351,
    geo_data[CNTR_ID], U$349
)</f>
        <v>9570</v>
      </c>
      <c r="V351" s="11">
        <f>SUMIFS(
    geo_data[n],
    geo_data[year], $A351,
    geo_data[CNTR_ID], V$349
)</f>
        <v>833</v>
      </c>
      <c r="W351" s="11">
        <f>SUMIFS(
    geo_data[n],
    geo_data[year], $A351,
    geo_data[CNTR_ID], W$349
)</f>
        <v>5469</v>
      </c>
      <c r="X351" s="11">
        <f>SUMIFS(
    geo_data[n],
    geo_data[year], $A351,
    geo_data[CNTR_ID], X$349
)</f>
        <v>590</v>
      </c>
      <c r="Y351" s="11">
        <f>SUMIFS(
    geo_data[n],
    geo_data[year], $A351,
    geo_data[CNTR_ID], Y$349
)</f>
        <v>248</v>
      </c>
      <c r="Z351" s="11">
        <f>SUMIFS(
    geo_data[n],
    geo_data[year], $A351,
    geo_data[CNTR_ID], Z$349
)</f>
        <v>2333</v>
      </c>
      <c r="AA351" s="11">
        <f>SUMIFS(
    geo_data[n],
    geo_data[year], $A351,
    geo_data[CNTR_ID], AA$349
)</f>
        <v>1340</v>
      </c>
      <c r="AB351" s="11">
        <f>SUMIFS(
    geo_data[n],
    geo_data[year], $A351,
    geo_data[CNTR_ID], AB$349
)</f>
        <v>19772</v>
      </c>
      <c r="AC351" s="11">
        <f>SUMIFS(
    geo_data[n],
    geo_data[year], $A351,
    geo_data[CNTR_ID], AC$349
)</f>
        <v>3509</v>
      </c>
      <c r="AD351" s="11">
        <f>SUMIFS(
    geo_data[n],
    geo_data[year], $A351,
    geo_data[CNTR_ID], AD$349
)</f>
        <v>26862</v>
      </c>
      <c r="AE351" s="11">
        <f>SUMIFS(
    geo_data[n],
    geo_data[year], $A351,
    geo_data[CNTR_ID], AE$349
)</f>
        <v>13335</v>
      </c>
      <c r="AF351" s="11">
        <f>SUMIFS(
    geo_data[n],
    geo_data[year], $A351,
    geo_data[CNTR_ID], AF$349
)</f>
        <v>16433</v>
      </c>
      <c r="AG351" s="11">
        <f>SUMIFS(
    geo_data[n],
    geo_data[year], $A351,
    geo_data[CNTR_ID], AG$349
)</f>
        <v>940</v>
      </c>
      <c r="AH351" s="11">
        <f>SUMIFS(
    geo_data[n],
    geo_data[year], $A351,
    geo_data[CNTR_ID], AH$349
)</f>
        <v>6188</v>
      </c>
      <c r="AI351" s="11">
        <f>SUMIFS(
    geo_data[n],
    geo_data[year], $A351,
    geo_data[CNTR_ID], AI$349
)</f>
        <v>4736</v>
      </c>
      <c r="AJ351" s="11">
        <f>SUMIFS(
    geo_data[n],
    geo_data[year], $A351,
    geo_data[CNTR_ID], AJ$349
)</f>
        <v>7574</v>
      </c>
      <c r="AK351" s="11">
        <f>SUMIFS(
    geo_data[n],
    geo_data[year], $A351,
    geo_data[CNTR_ID], AK$349
)</f>
        <v>24221</v>
      </c>
      <c r="AL351" s="11">
        <f>SUMIFS(
    geo_data[n],
    geo_data[year], $A351,
    geo_data[CNTR_ID], AL$349
)</f>
        <v>1594</v>
      </c>
      <c r="AM351" s="11">
        <f>SUMIFS(
    geo_data[n],
    geo_data[year], $A351,
    geo_data[CNTR_ID], AM$349
)</f>
        <v>212</v>
      </c>
    </row>
    <row r="352" spans="1:39">
      <c r="A352" s="11">
        <v>2016</v>
      </c>
      <c r="B352" s="11">
        <f>SUMIFS(
    geo_data[n],
    geo_data[year], $A352,
    geo_data[CNTR_ID], B$349
)</f>
        <v>632</v>
      </c>
      <c r="C352" s="11">
        <f>SUMIFS(
    geo_data[n],
    geo_data[year], $A352,
    geo_data[CNTR_ID], C$349
)</f>
        <v>11395</v>
      </c>
      <c r="D352" s="11">
        <f>SUMIFS(
    geo_data[n],
    geo_data[year], $A352,
    geo_data[CNTR_ID], $D$349
)</f>
        <v>13910</v>
      </c>
      <c r="E352" s="11">
        <f>SUMIFS(
    geo_data[n],
    geo_data[year], $A352,
    geo_data[CNTR_ID], E$349
)</f>
        <v>7135</v>
      </c>
      <c r="F352" s="11">
        <f>SUMIFS(
    geo_data[n],
    geo_data[year], $A352,
    geo_data[CNTR_ID], F$349
)</f>
        <v>0</v>
      </c>
      <c r="G352" s="11">
        <f>SUMIFS( geo_data[n],
    geo_data[year], $A352,
    geo_data[CNTR_ID], G$349
)</f>
        <v>1220</v>
      </c>
      <c r="H352" s="11">
        <f>SUMIFS(
    geo_data[n],
    geo_data[year], $A352,
    geo_data[CNTR_ID], H$349
)</f>
        <v>14832</v>
      </c>
      <c r="I352" s="11">
        <f>SUMIFS(
    geo_data[n],
    geo_data[year], $A352,
    geo_data[CNTR_ID], I$349
)</f>
        <v>62409</v>
      </c>
      <c r="J352" s="11">
        <f>SUMIFS(
    geo_data[n],
    geo_data[year], $A352,
    geo_data[CNTR_ID], J$349
)</f>
        <v>6073</v>
      </c>
      <c r="K352" s="11">
        <f>SUMIFS(
    geo_data[n],
    geo_data[year], $A352,
    geo_data[CNTR_ID], K$349
)</f>
        <v>4109</v>
      </c>
      <c r="L352" s="11">
        <f>SUMIFS(
    geo_data[n],
    geo_data[year], $A352,
    geo_data[CNTR_ID], L$349
)</f>
        <v>53589</v>
      </c>
      <c r="M352" s="11">
        <f>SUMIFS(
    geo_data[n],
    geo_data[year], $A352,
    geo_data[CNTR_ID], M$349
)</f>
        <v>12040</v>
      </c>
      <c r="N352" s="11">
        <f>SUMIFS(
    geo_data[n],
    geo_data[year], $A352,
    geo_data[CNTR_ID], N$349
)</f>
        <v>59644</v>
      </c>
      <c r="O352" s="11">
        <f>SUMIFS(
    geo_data[n],
    geo_data[year], $A352,
    geo_data[CNTR_ID], O$349
)</f>
        <v>4798</v>
      </c>
      <c r="P352" s="11">
        <f>SUMIFS(
    geo_data[n],
    geo_data[year], $A352,
    geo_data[CNTR_ID], P$349
)</f>
        <v>10883</v>
      </c>
      <c r="Q352" s="11">
        <f>SUMIFS(
    geo_data[n],
    geo_data[year], $A352,
    geo_data[CNTR_ID], Q$349
)</f>
        <v>4869</v>
      </c>
      <c r="R352" s="11">
        <f>SUMIFS(
    geo_data[n],
    geo_data[year], $A352,
    geo_data[CNTR_ID], R$349
)</f>
        <v>1127</v>
      </c>
      <c r="S352" s="11">
        <f>SUMIFS(
    geo_data[n],
    geo_data[year], $A352,
    geo_data[CNTR_ID], S$349
)</f>
        <v>51589</v>
      </c>
      <c r="T352" s="11">
        <f>SUMIFS(
    geo_data[n],
    geo_data[year], $A352,
    geo_data[CNTR_ID], T$349
)</f>
        <v>175</v>
      </c>
      <c r="U352" s="11">
        <f>SUMIFS(
    geo_data[n],
    geo_data[year], $A352,
    geo_data[CNTR_ID], U$349
)</f>
        <v>10294</v>
      </c>
      <c r="V352" s="11">
        <f>SUMIFS(
    geo_data[n],
    geo_data[year], $A352,
    geo_data[CNTR_ID], V$349
)</f>
        <v>942</v>
      </c>
      <c r="W352" s="11">
        <f>SUMIFS(
    geo_data[n],
    geo_data[year], $A352,
    geo_data[CNTR_ID], W$349
)</f>
        <v>4776</v>
      </c>
      <c r="X352" s="11">
        <f>SUMIFS(
    geo_data[n],
    geo_data[year], $A352,
    geo_data[CNTR_ID], X$349
)</f>
        <v>479</v>
      </c>
      <c r="Y352" s="11">
        <f>SUMIFS(
    geo_data[n],
    geo_data[year], $A352,
    geo_data[CNTR_ID], Y$349
)</f>
        <v>220</v>
      </c>
      <c r="Z352" s="11">
        <f>SUMIFS(
    geo_data[n],
    geo_data[year], $A352,
    geo_data[CNTR_ID], Z$349
)</f>
        <v>2275</v>
      </c>
      <c r="AA352" s="11">
        <f>SUMIFS(
    geo_data[n],
    geo_data[year], $A352,
    geo_data[CNTR_ID], AA$349
)</f>
        <v>1118</v>
      </c>
      <c r="AB352" s="11">
        <f>SUMIFS(
    geo_data[n],
    geo_data[year], $A352,
    geo_data[CNTR_ID], AB$349
)</f>
        <v>21671</v>
      </c>
      <c r="AC352" s="11">
        <f>SUMIFS(
    geo_data[n],
    geo_data[year], $A352,
    geo_data[CNTR_ID], AC$349
)</f>
        <v>4085</v>
      </c>
      <c r="AD352" s="11">
        <f>SUMIFS(
    geo_data[n],
    geo_data[year], $A352,
    geo_data[CNTR_ID], AD$349
)</f>
        <v>27873</v>
      </c>
      <c r="AE352" s="11">
        <f>SUMIFS(
    geo_data[n],
    geo_data[year], $A352,
    geo_data[CNTR_ID], AE$349
)</f>
        <v>14222</v>
      </c>
      <c r="AF352" s="11">
        <f>SUMIFS(
    geo_data[n],
    geo_data[year], $A352,
    geo_data[CNTR_ID], AF$349
)</f>
        <v>16637</v>
      </c>
      <c r="AG352" s="11">
        <f>SUMIFS(
    geo_data[n],
    geo_data[year], $A352,
    geo_data[CNTR_ID], AG$349
)</f>
        <v>1803</v>
      </c>
      <c r="AH352" s="11">
        <f>SUMIFS(
    geo_data[n],
    geo_data[year], $A352,
    geo_data[CNTR_ID], AH$349
)</f>
        <v>6710</v>
      </c>
      <c r="AI352" s="11">
        <f>SUMIFS(
    geo_data[n],
    geo_data[year], $A352,
    geo_data[CNTR_ID], AI$349
)</f>
        <v>4995</v>
      </c>
      <c r="AJ352" s="11">
        <f>SUMIFS(
    geo_data[n],
    geo_data[year], $A352,
    geo_data[CNTR_ID], AJ$349
)</f>
        <v>7815</v>
      </c>
      <c r="AK352" s="11">
        <f>SUMIFS(
    geo_data[n],
    geo_data[year], $A352,
    geo_data[CNTR_ID], AK$349
)</f>
        <v>26625</v>
      </c>
      <c r="AL352" s="11">
        <f>SUMIFS(
    geo_data[n],
    geo_data[year], $A352,
    geo_data[CNTR_ID], AL$349
)</f>
        <v>2416</v>
      </c>
      <c r="AM352" s="11">
        <f>SUMIFS(
    geo_data[n],
    geo_data[year], $A352,
    geo_data[CNTR_ID], AM$349
)</f>
        <v>349</v>
      </c>
    </row>
    <row r="353" spans="1:39">
      <c r="A353" s="11">
        <v>2017</v>
      </c>
      <c r="B353" s="11">
        <f>SUMIFS(
    geo_data[n],
    geo_data[year], $A353,
    geo_data[CNTR_ID], B$349
)</f>
        <v>881</v>
      </c>
      <c r="C353" s="11">
        <f>SUMIFS(
    geo_data[n],
    geo_data[year], $A353,
    geo_data[CNTR_ID], C$349
)</f>
        <v>11796</v>
      </c>
      <c r="D353" s="11">
        <f>SUMIFS(
    geo_data[n],
    geo_data[year], $A353,
    geo_data[CNTR_ID], $D$349
)</f>
        <v>14423</v>
      </c>
      <c r="E353" s="11">
        <f>SUMIFS(
    geo_data[n],
    geo_data[year], $A353,
    geo_data[CNTR_ID], E$349
)</f>
        <v>7928</v>
      </c>
      <c r="F353" s="11">
        <f>SUMIFS(
    geo_data[n],
    geo_data[year], $A353,
    geo_data[CNTR_ID], F$349
)</f>
        <v>0</v>
      </c>
      <c r="G353" s="11">
        <f>SUMIFS( geo_data[n],
    geo_data[year], $A353,
    geo_data[CNTR_ID], G$349
)</f>
        <v>1555</v>
      </c>
      <c r="H353" s="11">
        <f>SUMIFS(
    geo_data[n],
    geo_data[year], $A353,
    geo_data[CNTR_ID], H$349
)</f>
        <v>15156</v>
      </c>
      <c r="I353" s="11">
        <f>SUMIFS(
    geo_data[n],
    geo_data[year], $A353,
    geo_data[CNTR_ID], I$349
)</f>
        <v>65067</v>
      </c>
      <c r="J353" s="11">
        <f>SUMIFS(
    geo_data[n],
    geo_data[year], $A353,
    geo_data[CNTR_ID], J$349
)</f>
        <v>6909</v>
      </c>
      <c r="K353" s="11">
        <f>SUMIFS(
    geo_data[n],
    geo_data[year], $A353,
    geo_data[CNTR_ID], K$349
)</f>
        <v>4323</v>
      </c>
      <c r="L353" s="11">
        <f>SUMIFS(
    geo_data[n],
    geo_data[year], $A353,
    geo_data[CNTR_ID], L$349
)</f>
        <v>59160</v>
      </c>
      <c r="M353" s="11">
        <f>SUMIFS(
    geo_data[n],
    geo_data[year], $A353,
    geo_data[CNTR_ID], M$349
)</f>
        <v>12151</v>
      </c>
      <c r="N353" s="11">
        <f>SUMIFS(
    geo_data[n],
    geo_data[year], $A353,
    geo_data[CNTR_ID], N$349
)</f>
        <v>63160</v>
      </c>
      <c r="O353" s="11">
        <f>SUMIFS(
    geo_data[n],
    geo_data[year], $A353,
    geo_data[CNTR_ID], O$349
)</f>
        <v>4999</v>
      </c>
      <c r="P353" s="11">
        <f>SUMIFS(
    geo_data[n],
    geo_data[year], $A353,
    geo_data[CNTR_ID], P$349
)</f>
        <v>11557</v>
      </c>
      <c r="Q353" s="11">
        <f>SUMIFS(
    geo_data[n],
    geo_data[year], $A353,
    geo_data[CNTR_ID], Q$349
)</f>
        <v>5233</v>
      </c>
      <c r="R353" s="11">
        <f>SUMIFS(
    geo_data[n],
    geo_data[year], $A353,
    geo_data[CNTR_ID], R$349
)</f>
        <v>1292</v>
      </c>
      <c r="S353" s="11">
        <f>SUMIFS(
    geo_data[n],
    geo_data[year], $A353,
    geo_data[CNTR_ID], S$349
)</f>
        <v>54723</v>
      </c>
      <c r="T353" s="11">
        <f>SUMIFS(
    geo_data[n],
    geo_data[year], $A353,
    geo_data[CNTR_ID], T$349
)</f>
        <v>144</v>
      </c>
      <c r="U353" s="11">
        <f>SUMIFS(
    geo_data[n],
    geo_data[year], $A353,
    geo_data[CNTR_ID], U$349
)</f>
        <v>10652</v>
      </c>
      <c r="V353" s="11">
        <f>SUMIFS(
    geo_data[n],
    geo_data[year], $A353,
    geo_data[CNTR_ID], V$349
)</f>
        <v>970</v>
      </c>
      <c r="W353" s="11">
        <f>SUMIFS(
    geo_data[n],
    geo_data[year], $A353,
    geo_data[CNTR_ID], W$349
)</f>
        <v>5328</v>
      </c>
      <c r="X353" s="11">
        <f>SUMIFS(
    geo_data[n],
    geo_data[year], $A353,
    geo_data[CNTR_ID], X$349
)</f>
        <v>604</v>
      </c>
      <c r="Y353" s="11">
        <f>SUMIFS(
    geo_data[n],
    geo_data[year], $A353,
    geo_data[CNTR_ID], Y$349
)</f>
        <v>378</v>
      </c>
      <c r="Z353" s="11">
        <f>SUMIFS(
    geo_data[n],
    geo_data[year], $A353,
    geo_data[CNTR_ID], Z$349
)</f>
        <v>2545</v>
      </c>
      <c r="AA353" s="11">
        <f>SUMIFS(
    geo_data[n],
    geo_data[year], $A353,
    geo_data[CNTR_ID], AA$349
)</f>
        <v>1306</v>
      </c>
      <c r="AB353" s="11">
        <f>SUMIFS(
    geo_data[n],
    geo_data[year], $A353,
    geo_data[CNTR_ID], AB$349
)</f>
        <v>22212</v>
      </c>
      <c r="AC353" s="11">
        <f>SUMIFS(
    geo_data[n],
    geo_data[year], $A353,
    geo_data[CNTR_ID], AC$349
)</f>
        <v>4620</v>
      </c>
      <c r="AD353" s="11">
        <f>SUMIFS(
    geo_data[n],
    geo_data[year], $A353,
    geo_data[CNTR_ID], AD$349
)</f>
        <v>27983</v>
      </c>
      <c r="AE353" s="11">
        <f>SUMIFS(
    geo_data[n],
    geo_data[year], $A353,
    geo_data[CNTR_ID], AE$349
)</f>
        <v>15414</v>
      </c>
      <c r="AF353" s="11">
        <f>SUMIFS(
    geo_data[n],
    geo_data[year], $A353,
    geo_data[CNTR_ID], AF$349
)</f>
        <v>17074</v>
      </c>
      <c r="AG353" s="11">
        <f>SUMIFS(
    geo_data[n],
    geo_data[year], $A353,
    geo_data[CNTR_ID], AG$349
)</f>
        <v>2508</v>
      </c>
      <c r="AH353" s="11">
        <f>SUMIFS(
    geo_data[n],
    geo_data[year], $A353,
    geo_data[CNTR_ID], AH$349
)</f>
        <v>7085</v>
      </c>
      <c r="AI353" s="11">
        <f>SUMIFS(
    geo_data[n],
    geo_data[year], $A353,
    geo_data[CNTR_ID], AI$349
)</f>
        <v>5126</v>
      </c>
      <c r="AJ353" s="11">
        <f>SUMIFS(
    geo_data[n],
    geo_data[year], $A353,
    geo_data[CNTR_ID], AJ$349
)</f>
        <v>8191</v>
      </c>
      <c r="AK353" s="11">
        <f>SUMIFS(
    geo_data[n],
    geo_data[year], $A353,
    geo_data[CNTR_ID], AK$349
)</f>
        <v>30520</v>
      </c>
      <c r="AL353" s="11">
        <f>SUMIFS(
    geo_data[n],
    geo_data[year], $A353,
    geo_data[CNTR_ID], AL$349
)</f>
        <v>3106</v>
      </c>
      <c r="AM353" s="11">
        <f>SUMIFS(
    geo_data[n],
    geo_data[year], $A353,
    geo_data[CNTR_ID], AM$349
)</f>
        <v>488</v>
      </c>
    </row>
    <row r="354" spans="1:39">
      <c r="A354" s="11">
        <v>2018</v>
      </c>
      <c r="B354" s="11">
        <f>SUMIFS(
    geo_data[n],
    geo_data[year], $A354,
    geo_data[CNTR_ID], B$349
)</f>
        <v>924</v>
      </c>
      <c r="C354" s="11">
        <f>SUMIFS(
    geo_data[n],
    geo_data[year], $A354,
    geo_data[CNTR_ID], C$349
)</f>
        <v>12692</v>
      </c>
      <c r="D354" s="11">
        <f>SUMIFS(
    geo_data[n],
    geo_data[year], $A354,
    geo_data[CNTR_ID], $D$349
)</f>
        <v>15482</v>
      </c>
      <c r="E354" s="11">
        <f>SUMIFS(
    geo_data[n],
    geo_data[year], $A354,
    geo_data[CNTR_ID], E$349
)</f>
        <v>9203</v>
      </c>
      <c r="F354" s="11">
        <f>SUMIFS(
    geo_data[n],
    geo_data[year], $A354,
    geo_data[CNTR_ID], F$349
)</f>
        <v>1</v>
      </c>
      <c r="G354" s="11">
        <f>SUMIFS( geo_data[n],
    geo_data[year], $A354,
    geo_data[CNTR_ID], G$349
)</f>
        <v>1504</v>
      </c>
      <c r="H354" s="11">
        <f>SUMIFS(
    geo_data[n],
    geo_data[year], $A354,
    geo_data[CNTR_ID], H$349
)</f>
        <v>16100</v>
      </c>
      <c r="I354" s="11">
        <f>SUMIFS(
    geo_data[n],
    geo_data[year], $A354,
    geo_data[CNTR_ID], I$349
)</f>
        <v>69564</v>
      </c>
      <c r="J354" s="11">
        <f>SUMIFS(
    geo_data[n],
    geo_data[year], $A354,
    geo_data[CNTR_ID], J$349
)</f>
        <v>6906</v>
      </c>
      <c r="K354" s="11">
        <f>SUMIFS(
    geo_data[n],
    geo_data[year], $A354,
    geo_data[CNTR_ID], K$349
)</f>
        <v>4682</v>
      </c>
      <c r="L354" s="11">
        <f>SUMIFS(
    geo_data[n],
    geo_data[year], $A354,
    geo_data[CNTR_ID], L$349
)</f>
        <v>63706</v>
      </c>
      <c r="M354" s="11">
        <f>SUMIFS(
    geo_data[n],
    geo_data[year], $A354,
    geo_data[CNTR_ID], M$349
)</f>
        <v>11835</v>
      </c>
      <c r="N354" s="11">
        <f>SUMIFS(
    geo_data[n],
    geo_data[year], $A354,
    geo_data[CNTR_ID], N$349
)</f>
        <v>69927</v>
      </c>
      <c r="O354" s="11">
        <f>SUMIFS(
    geo_data[n],
    geo_data[year], $A354,
    geo_data[CNTR_ID], O$349
)</f>
        <v>5711</v>
      </c>
      <c r="P354" s="11">
        <f>SUMIFS(
    geo_data[n],
    geo_data[year], $A354,
    geo_data[CNTR_ID], P$349
)</f>
        <v>12298</v>
      </c>
      <c r="Q354" s="11">
        <f>SUMIFS(
    geo_data[n],
    geo_data[year], $A354,
    geo_data[CNTR_ID], Q$349
)</f>
        <v>5930</v>
      </c>
      <c r="R354" s="11">
        <f>SUMIFS(
    geo_data[n],
    geo_data[year], $A354,
    geo_data[CNTR_ID], R$349
)</f>
        <v>1159</v>
      </c>
      <c r="S354" s="11">
        <f>SUMIFS(
    geo_data[n],
    geo_data[year], $A354,
    geo_data[CNTR_ID], S$349
)</f>
        <v>59548</v>
      </c>
      <c r="T354" s="11">
        <f>SUMIFS(
    geo_data[n],
    geo_data[year], $A354,
    geo_data[CNTR_ID], T$349
)</f>
        <v>191</v>
      </c>
      <c r="U354" s="11">
        <f>SUMIFS(
    geo_data[n],
    geo_data[year], $A354,
    geo_data[CNTR_ID], U$349
)</f>
        <v>10976</v>
      </c>
      <c r="V354" s="11">
        <f>SUMIFS(
    geo_data[n],
    geo_data[year], $A354,
    geo_data[CNTR_ID], V$349
)</f>
        <v>1047</v>
      </c>
      <c r="W354" s="11">
        <f>SUMIFS(
    geo_data[n],
    geo_data[year], $A354,
    geo_data[CNTR_ID], W$349
)</f>
        <v>5933</v>
      </c>
      <c r="X354" s="11">
        <f>SUMIFS(
    geo_data[n],
    geo_data[year], $A354,
    geo_data[CNTR_ID], X$349
)</f>
        <v>668</v>
      </c>
      <c r="Y354" s="11">
        <f>SUMIFS(
    geo_data[n],
    geo_data[year], $A354,
    geo_data[CNTR_ID], Y$349
)</f>
        <v>359</v>
      </c>
      <c r="Z354" s="11">
        <f>SUMIFS(
    geo_data[n],
    geo_data[year], $A354,
    geo_data[CNTR_ID], Z$349
)</f>
        <v>3018</v>
      </c>
      <c r="AA354" s="11">
        <f>SUMIFS(
    geo_data[n],
    geo_data[year], $A354,
    geo_data[CNTR_ID], AA$349
)</f>
        <v>1536</v>
      </c>
      <c r="AB354" s="11">
        <f>SUMIFS(
    geo_data[n],
    geo_data[year], $A354,
    geo_data[CNTR_ID], AB$349
)</f>
        <v>23087</v>
      </c>
      <c r="AC354" s="11">
        <f>SUMIFS(
    geo_data[n],
    geo_data[year], $A354,
    geo_data[CNTR_ID], AC$349
)</f>
        <v>5086</v>
      </c>
      <c r="AD354" s="11">
        <f>SUMIFS(
    geo_data[n],
    geo_data[year], $A354,
    geo_data[CNTR_ID], AD$349
)</f>
        <v>29541</v>
      </c>
      <c r="AE354" s="11">
        <f>SUMIFS(
    geo_data[n],
    geo_data[year], $A354,
    geo_data[CNTR_ID], AE$349
)</f>
        <v>17234</v>
      </c>
      <c r="AF354" s="11">
        <f>SUMIFS(
    geo_data[n],
    geo_data[year], $A354,
    geo_data[CNTR_ID], AF$349
)</f>
        <v>18689</v>
      </c>
      <c r="AG354" s="11">
        <f>SUMIFS(
    geo_data[n],
    geo_data[year], $A354,
    geo_data[CNTR_ID], AG$349
)</f>
        <v>2956</v>
      </c>
      <c r="AH354" s="11">
        <f>SUMIFS(
    geo_data[n],
    geo_data[year], $A354,
    geo_data[CNTR_ID], AH$349
)</f>
        <v>8011</v>
      </c>
      <c r="AI354" s="11">
        <f>SUMIFS(
    geo_data[n],
    geo_data[year], $A354,
    geo_data[CNTR_ID], AI$349
)</f>
        <v>5927</v>
      </c>
      <c r="AJ354" s="11">
        <f>SUMIFS(
    geo_data[n],
    geo_data[year], $A354,
    geo_data[CNTR_ID], AJ$349
)</f>
        <v>9393</v>
      </c>
      <c r="AK354" s="11">
        <f>SUMIFS(
    geo_data[n],
    geo_data[year], $A354,
    geo_data[CNTR_ID], AK$349
)</f>
        <v>33124</v>
      </c>
      <c r="AL354" s="11">
        <f>SUMIFS(
    geo_data[n],
    geo_data[year], $A354,
    geo_data[CNTR_ID], AL$349
)</f>
        <v>3461</v>
      </c>
      <c r="AM354" s="11">
        <f>SUMIFS(
    geo_data[n],
    geo_data[year], $A354,
    geo_data[CNTR_ID], AM$349
)</f>
        <v>610</v>
      </c>
    </row>
    <row r="355" spans="1:39">
      <c r="A355" s="11">
        <v>2019</v>
      </c>
      <c r="B355" s="11">
        <f>SUMIFS(
    geo_data[n],
    geo_data[year], $A355,
    geo_data[CNTR_ID], B$349
)</f>
        <v>1295</v>
      </c>
      <c r="C355" s="11">
        <f>SUMIFS(
    geo_data[n],
    geo_data[year], $A355,
    geo_data[CNTR_ID], C$349
)</f>
        <v>13283</v>
      </c>
      <c r="D355" s="11">
        <f>SUMIFS(
    geo_data[n],
    geo_data[year], $A355,
    geo_data[CNTR_ID], $D$349
)</f>
        <v>16370</v>
      </c>
      <c r="E355" s="11">
        <f>SUMIFS(
    geo_data[n],
    geo_data[year], $A355,
    geo_data[CNTR_ID], E$349
)</f>
        <v>9750</v>
      </c>
      <c r="F355" s="11">
        <f>SUMIFS(
    geo_data[n],
    geo_data[year], $A355,
    geo_data[CNTR_ID], F$349
)</f>
        <v>0</v>
      </c>
      <c r="G355" s="11">
        <f>SUMIFS( geo_data[n],
    geo_data[year], $A355,
    geo_data[CNTR_ID], G$349
)</f>
        <v>1822</v>
      </c>
      <c r="H355" s="11">
        <f>SUMIFS(
    geo_data[n],
    geo_data[year], $A355,
    geo_data[CNTR_ID], H$349
)</f>
        <v>17595</v>
      </c>
      <c r="I355" s="11">
        <f>SUMIFS(
    geo_data[n],
    geo_data[year], $A355,
    geo_data[CNTR_ID], I$349
)</f>
        <v>73427</v>
      </c>
      <c r="J355" s="11">
        <f>SUMIFS(
    geo_data[n],
    geo_data[year], $A355,
    geo_data[CNTR_ID], J$349
)</f>
        <v>7128</v>
      </c>
      <c r="K355" s="11">
        <f>SUMIFS(
    geo_data[n],
    geo_data[year], $A355,
    geo_data[CNTR_ID], K$349
)</f>
        <v>5075</v>
      </c>
      <c r="L355" s="11">
        <f>SUMIFS(
    geo_data[n],
    geo_data[year], $A355,
    geo_data[CNTR_ID], L$349
)</f>
        <v>67378</v>
      </c>
      <c r="M355" s="11">
        <f>SUMIFS(
    geo_data[n],
    geo_data[year], $A355,
    geo_data[CNTR_ID], M$349
)</f>
        <v>11594</v>
      </c>
      <c r="N355" s="11">
        <f>SUMIFS(
    geo_data[n],
    geo_data[year], $A355,
    geo_data[CNTR_ID], N$349
)</f>
        <v>77017</v>
      </c>
      <c r="O355" s="11">
        <f>SUMIFS(
    geo_data[n],
    geo_data[year], $A355,
    geo_data[CNTR_ID], O$349
)</f>
        <v>6619</v>
      </c>
      <c r="P355" s="11">
        <f>SUMIFS(
    geo_data[n],
    geo_data[year], $A355,
    geo_data[CNTR_ID], P$349
)</f>
        <v>14030</v>
      </c>
      <c r="Q355" s="11">
        <f>SUMIFS(
    geo_data[n],
    geo_data[year], $A355,
    geo_data[CNTR_ID], Q$349
)</f>
        <v>6559</v>
      </c>
      <c r="R355" s="11">
        <f>SUMIFS(
    geo_data[n],
    geo_data[year], $A355,
    geo_data[CNTR_ID], R$349
)</f>
        <v>1370</v>
      </c>
      <c r="S355" s="11">
        <f>SUMIFS(
    geo_data[n],
    geo_data[year], $A355,
    geo_data[CNTR_ID], S$349
)</f>
        <v>62853</v>
      </c>
      <c r="T355" s="11">
        <f>SUMIFS(
    geo_data[n],
    geo_data[year], $A355,
    geo_data[CNTR_ID], T$349
)</f>
        <v>190</v>
      </c>
      <c r="U355" s="11">
        <f>SUMIFS(
    geo_data[n],
    geo_data[year], $A355,
    geo_data[CNTR_ID], U$349
)</f>
        <v>12060</v>
      </c>
      <c r="V355" s="11">
        <f>SUMIFS(
    geo_data[n],
    geo_data[year], $A355,
    geo_data[CNTR_ID], V$349
)</f>
        <v>968</v>
      </c>
      <c r="W355" s="11">
        <f>SUMIFS(
    geo_data[n],
    geo_data[year], $A355,
    geo_data[CNTR_ID], W$349
)</f>
        <v>6882</v>
      </c>
      <c r="X355" s="11">
        <f>SUMIFS(
    geo_data[n],
    geo_data[year], $A355,
    geo_data[CNTR_ID], X$349
)</f>
        <v>728</v>
      </c>
      <c r="Y355" s="11">
        <f>SUMIFS(
    geo_data[n],
    geo_data[year], $A355,
    geo_data[CNTR_ID], Y$349
)</f>
        <v>344</v>
      </c>
      <c r="Z355" s="11">
        <f>SUMIFS(
    geo_data[n],
    geo_data[year], $A355,
    geo_data[CNTR_ID], Z$349
)</f>
        <v>3351</v>
      </c>
      <c r="AA355" s="11">
        <f>SUMIFS(
    geo_data[n],
    geo_data[year], $A355,
    geo_data[CNTR_ID], AA$349
)</f>
        <v>1646</v>
      </c>
      <c r="AB355" s="11">
        <f>SUMIFS(
    geo_data[n],
    geo_data[year], $A355,
    geo_data[CNTR_ID], AB$349
)</f>
        <v>25308</v>
      </c>
      <c r="AC355" s="11">
        <f>SUMIFS(
    geo_data[n],
    geo_data[year], $A355,
    geo_data[CNTR_ID], AC$349
)</f>
        <v>5589</v>
      </c>
      <c r="AD355" s="11">
        <f>SUMIFS(
    geo_data[n],
    geo_data[year], $A355,
    geo_data[CNTR_ID], AD$349
)</f>
        <v>32347</v>
      </c>
      <c r="AE355" s="11">
        <f>SUMIFS(
    geo_data[n],
    geo_data[year], $A355,
    geo_data[CNTR_ID], AE$349
)</f>
        <v>18465</v>
      </c>
      <c r="AF355" s="11">
        <f>SUMIFS(
    geo_data[n],
    geo_data[year], $A355,
    geo_data[CNTR_ID], AF$349
)</f>
        <v>21547</v>
      </c>
      <c r="AG355" s="11">
        <f>SUMIFS(
    geo_data[n],
    geo_data[year], $A355,
    geo_data[CNTR_ID], AG$349
)</f>
        <v>3188</v>
      </c>
      <c r="AH355" s="11">
        <f>SUMIFS(
    geo_data[n],
    geo_data[year], $A355,
    geo_data[CNTR_ID], AH$349
)</f>
        <v>8742</v>
      </c>
      <c r="AI355" s="11">
        <f>SUMIFS(
    geo_data[n],
    geo_data[year], $A355,
    geo_data[CNTR_ID], AI$349
)</f>
        <v>5989</v>
      </c>
      <c r="AJ355" s="11">
        <f>SUMIFS(
    geo_data[n],
    geo_data[year], $A355,
    geo_data[CNTR_ID], AJ$349
)</f>
        <v>10218</v>
      </c>
      <c r="AK355" s="11">
        <f>SUMIFS(
    geo_data[n],
    geo_data[year], $A355,
    geo_data[CNTR_ID], AK$349
)</f>
        <v>33986</v>
      </c>
      <c r="AL355" s="11">
        <f>SUMIFS(
    geo_data[n],
    geo_data[year], $A355,
    geo_data[CNTR_ID], AL$349
)</f>
        <v>3928</v>
      </c>
      <c r="AM355" s="11">
        <f>SUMIFS(
    geo_data[n],
    geo_data[year], $A355,
    geo_data[CNTR_ID], AM$349
)</f>
        <v>617</v>
      </c>
    </row>
    <row r="356" spans="1:39">
      <c r="A356" s="11">
        <v>2020</v>
      </c>
      <c r="B356" s="11">
        <f>SUMIFS(
    geo_data[n],
    geo_data[year], $A356,
    geo_data[CNTR_ID], B$349
)</f>
        <v>481</v>
      </c>
      <c r="C356" s="11">
        <f>SUMIFS(
    geo_data[n],
    geo_data[year], $A356,
    geo_data[CNTR_ID], C$349
)</f>
        <v>5874</v>
      </c>
      <c r="D356" s="11">
        <f>SUMIFS(
    geo_data[n],
    geo_data[year], $A356,
    geo_data[CNTR_ID], $D$349
)</f>
        <v>8103</v>
      </c>
      <c r="E356" s="11">
        <f>SUMIFS(
    geo_data[n],
    geo_data[year], $A356,
    geo_data[CNTR_ID], E$349
)</f>
        <v>3264</v>
      </c>
      <c r="F356" s="11">
        <f>SUMIFS(
    geo_data[n],
    geo_data[year], $A356,
    geo_data[CNTR_ID], F$349
)</f>
        <v>0</v>
      </c>
      <c r="G356" s="11">
        <f>SUMIFS( geo_data[n],
    geo_data[year], $A356,
    geo_data[CNTR_ID], G$349
)</f>
        <v>398</v>
      </c>
      <c r="H356" s="11">
        <f>SUMIFS(
    geo_data[n],
    geo_data[year], $A356,
    geo_data[CNTR_ID], H$349
)</f>
        <v>6430</v>
      </c>
      <c r="I356" s="11">
        <f>SUMIFS(
    geo_data[n],
    geo_data[year], $A356,
    geo_data[CNTR_ID], I$349
)</f>
        <v>32177</v>
      </c>
      <c r="J356" s="11">
        <f>SUMIFS(
    geo_data[n],
    geo_data[year], $A356,
    geo_data[CNTR_ID], J$349
)</f>
        <v>3489</v>
      </c>
      <c r="K356" s="11">
        <f>SUMIFS(
    geo_data[n],
    geo_data[year], $A356,
    geo_data[CNTR_ID], K$349
)</f>
        <v>1723</v>
      </c>
      <c r="L356" s="11">
        <f>SUMIFS(
    geo_data[n],
    geo_data[year], $A356,
    geo_data[CNTR_ID], L$349
)</f>
        <v>25088</v>
      </c>
      <c r="M356" s="11">
        <f>SUMIFS(
    geo_data[n],
    geo_data[year], $A356,
    geo_data[CNTR_ID], M$349
)</f>
        <v>3897</v>
      </c>
      <c r="N356" s="11">
        <f>SUMIFS(
    geo_data[n],
    geo_data[year], $A356,
    geo_data[CNTR_ID], N$349
)</f>
        <v>38358</v>
      </c>
      <c r="O356" s="11">
        <f>SUMIFS(
    geo_data[n],
    geo_data[year], $A356,
    geo_data[CNTR_ID], O$349
)</f>
        <v>2530</v>
      </c>
      <c r="P356" s="11">
        <f>SUMIFS(
    geo_data[n],
    geo_data[year], $A356,
    geo_data[CNTR_ID], P$349
)</f>
        <v>3837</v>
      </c>
      <c r="Q356" s="11">
        <f>SUMIFS(
    geo_data[n],
    geo_data[year], $A356,
    geo_data[CNTR_ID], Q$349
)</f>
        <v>3304</v>
      </c>
      <c r="R356" s="11">
        <f>SUMIFS(
    geo_data[n],
    geo_data[year], $A356,
    geo_data[CNTR_ID], R$349
)</f>
        <v>456</v>
      </c>
      <c r="S356" s="11">
        <f>SUMIFS(
    geo_data[n],
    geo_data[year], $A356,
    geo_data[CNTR_ID], S$349
)</f>
        <v>23978</v>
      </c>
      <c r="T356" s="11">
        <f>SUMIFS(
    geo_data[n],
    geo_data[year], $A356,
    geo_data[CNTR_ID], T$349
)</f>
        <v>83</v>
      </c>
      <c r="U356" s="11">
        <f>SUMIFS(
    geo_data[n],
    geo_data[year], $A356,
    geo_data[CNTR_ID], U$349
)</f>
        <v>4372</v>
      </c>
      <c r="V356" s="11">
        <f>SUMIFS(
    geo_data[n],
    geo_data[year], $A356,
    geo_data[CNTR_ID], V$349
)</f>
        <v>376</v>
      </c>
      <c r="W356" s="11">
        <f>SUMIFS(
    geo_data[n],
    geo_data[year], $A356,
    geo_data[CNTR_ID], W$349
)</f>
        <v>2517</v>
      </c>
      <c r="X356" s="11">
        <f>SUMIFS(
    geo_data[n],
    geo_data[year], $A356,
    geo_data[CNTR_ID], X$349
)</f>
        <v>201</v>
      </c>
      <c r="Y356" s="11">
        <f>SUMIFS(
    geo_data[n],
    geo_data[year], $A356,
    geo_data[CNTR_ID], Y$349
)</f>
        <v>137</v>
      </c>
      <c r="Z356" s="11">
        <f>SUMIFS(
    geo_data[n],
    geo_data[year], $A356,
    geo_data[CNTR_ID], Z$349
)</f>
        <v>885</v>
      </c>
      <c r="AA356" s="11">
        <f>SUMIFS(
    geo_data[n],
    geo_data[year], $A356,
    geo_data[CNTR_ID], AA$349
)</f>
        <v>420</v>
      </c>
      <c r="AB356" s="11">
        <f>SUMIFS(
    geo_data[n],
    geo_data[year], $A356,
    geo_data[CNTR_ID], AB$349
)</f>
        <v>9440</v>
      </c>
      <c r="AC356" s="11">
        <f>SUMIFS(
    geo_data[n],
    geo_data[year], $A356,
    geo_data[CNTR_ID], AC$349
)</f>
        <v>2274</v>
      </c>
      <c r="AD356" s="11">
        <f>SUMIFS(
    geo_data[n],
    geo_data[year], $A356,
    geo_data[CNTR_ID], AD$349
)</f>
        <v>11379</v>
      </c>
      <c r="AE356" s="11">
        <f>SUMIFS(
    geo_data[n],
    geo_data[year], $A356,
    geo_data[CNTR_ID], AE$349
)</f>
        <v>7046</v>
      </c>
      <c r="AF356" s="11">
        <f>SUMIFS(
    geo_data[n],
    geo_data[year], $A356,
    geo_data[CNTR_ID], AF$349
)</f>
        <v>7003</v>
      </c>
      <c r="AG356" s="11">
        <f>SUMIFS(
    geo_data[n],
    geo_data[year], $A356,
    geo_data[CNTR_ID], AG$349
)</f>
        <v>794</v>
      </c>
      <c r="AH356" s="11">
        <f>SUMIFS(
    geo_data[n],
    geo_data[year], $A356,
    geo_data[CNTR_ID], AH$349
)</f>
        <v>4484</v>
      </c>
      <c r="AI356" s="11">
        <f>SUMIFS(
    geo_data[n],
    geo_data[year], $A356,
    geo_data[CNTR_ID], AI$349
)</f>
        <v>2152</v>
      </c>
      <c r="AJ356" s="11">
        <f>SUMIFS(
    geo_data[n],
    geo_data[year], $A356,
    geo_data[CNTR_ID], AJ$349
)</f>
        <v>3199</v>
      </c>
      <c r="AK356" s="11">
        <f>SUMIFS(
    geo_data[n],
    geo_data[year], $A356,
    geo_data[CNTR_ID], AK$349
)</f>
        <v>11427</v>
      </c>
      <c r="AL356" s="11">
        <f>SUMIFS(
    geo_data[n],
    geo_data[year], $A356,
    geo_data[CNTR_ID], AL$349
)</f>
        <v>1070</v>
      </c>
      <c r="AM356" s="11">
        <f>SUMIFS(
    geo_data[n],
    geo_data[year], $A356,
    geo_data[CNTR_ID], AM$349
)</f>
        <v>239</v>
      </c>
    </row>
    <row r="357" spans="1:39">
      <c r="A357" s="11">
        <v>2021</v>
      </c>
      <c r="B357" s="11">
        <f>SUMIFS(
    geo_data[n],
    geo_data[year], $A357,
    geo_data[CNTR_ID], B$349
)</f>
        <v>853</v>
      </c>
      <c r="C357" s="11">
        <f>SUMIFS(
    geo_data[n],
    geo_data[year], $A357,
    geo_data[CNTR_ID], C$349
)</f>
        <v>7629</v>
      </c>
      <c r="D357" s="11">
        <f>SUMIFS(
    geo_data[n],
    geo_data[year], $A357,
    geo_data[CNTR_ID], $D$349
)</f>
        <v>10996</v>
      </c>
      <c r="E357" s="11">
        <f>SUMIFS(
    geo_data[n],
    geo_data[year], $A357,
    geo_data[CNTR_ID], E$349
)</f>
        <v>7285</v>
      </c>
      <c r="F357" s="11">
        <f>SUMIFS(
    geo_data[n],
    geo_data[year], $A357,
    geo_data[CNTR_ID], F$349
)</f>
        <v>0</v>
      </c>
      <c r="G357" s="11">
        <f>SUMIFS( geo_data[n],
    geo_data[year], $A357,
    geo_data[CNTR_ID], G$349
)</f>
        <v>843</v>
      </c>
      <c r="H357" s="11">
        <f>SUMIFS(
    geo_data[n],
    geo_data[year], $A357,
    geo_data[CNTR_ID], H$349
)</f>
        <v>10835</v>
      </c>
      <c r="I357" s="11">
        <f>SUMIFS(
    geo_data[n],
    geo_data[year], $A357,
    geo_data[CNTR_ID], I$349
)</f>
        <v>41460</v>
      </c>
      <c r="J357" s="11">
        <f>SUMIFS(
    geo_data[n],
    geo_data[year], $A357,
    geo_data[CNTR_ID], J$349
)</f>
        <v>4239</v>
      </c>
      <c r="K357" s="11">
        <f>SUMIFS(
    geo_data[n],
    geo_data[year], $A357,
    geo_data[CNTR_ID], K$349
)</f>
        <v>2830</v>
      </c>
      <c r="L357" s="11">
        <f>SUMIFS(
    geo_data[n],
    geo_data[year], $A357,
    geo_data[CNTR_ID], L$349
)</f>
        <v>54284</v>
      </c>
      <c r="M357" s="11">
        <f>SUMIFS(
    geo_data[n],
    geo_data[year], $A357,
    geo_data[CNTR_ID], M$349
)</f>
        <v>2743</v>
      </c>
      <c r="N357" s="11">
        <f>SUMIFS(
    geo_data[n],
    geo_data[year], $A357,
    geo_data[CNTR_ID], N$349
)</f>
        <v>50426</v>
      </c>
      <c r="O357" s="11">
        <f>SUMIFS(
    geo_data[n],
    geo_data[year], $A357,
    geo_data[CNTR_ID], O$349
)</f>
        <v>4372</v>
      </c>
      <c r="P357" s="11">
        <f>SUMIFS(
    geo_data[n],
    geo_data[year], $A357,
    geo_data[CNTR_ID], P$349
)</f>
        <v>7883</v>
      </c>
      <c r="Q357" s="11">
        <f>SUMIFS(
    geo_data[n],
    geo_data[year], $A357,
    geo_data[CNTR_ID], Q$349
)</f>
        <v>3782</v>
      </c>
      <c r="R357" s="11">
        <f>SUMIFS(
    geo_data[n],
    geo_data[year], $A357,
    geo_data[CNTR_ID], R$349
)</f>
        <v>480</v>
      </c>
      <c r="S357" s="11">
        <f>SUMIFS(
    geo_data[n],
    geo_data[year], $A357,
    geo_data[CNTR_ID], S$349
)</f>
        <v>48234</v>
      </c>
      <c r="T357" s="11">
        <f>SUMIFS(
    geo_data[n],
    geo_data[year], $A357,
    geo_data[CNTR_ID], T$349
)</f>
        <v>62</v>
      </c>
      <c r="U357" s="11">
        <f>SUMIFS(
    geo_data[n],
    geo_data[year], $A357,
    geo_data[CNTR_ID], U$349
)</f>
        <v>8098</v>
      </c>
      <c r="V357" s="11">
        <f>SUMIFS(
    geo_data[n],
    geo_data[year], $A357,
    geo_data[CNTR_ID], V$349
)</f>
        <v>452</v>
      </c>
      <c r="W357" s="11">
        <f>SUMIFS(
    geo_data[n],
    geo_data[year], $A357,
    geo_data[CNTR_ID], W$349
)</f>
        <v>4482</v>
      </c>
      <c r="X357" s="11">
        <f>SUMIFS(
    geo_data[n],
    geo_data[year], $A357,
    geo_data[CNTR_ID], X$349
)</f>
        <v>475</v>
      </c>
      <c r="Y357" s="11">
        <f>SUMIFS(
    geo_data[n],
    geo_data[year], $A357,
    geo_data[CNTR_ID], Y$349
)</f>
        <v>316</v>
      </c>
      <c r="Z357" s="11">
        <f>SUMIFS(
    geo_data[n],
    geo_data[year], $A357,
    geo_data[CNTR_ID], Z$349
)</f>
        <v>2644</v>
      </c>
      <c r="AA357" s="11">
        <f>SUMIFS(
    geo_data[n],
    geo_data[year], $A357,
    geo_data[CNTR_ID], AA$349
)</f>
        <v>801</v>
      </c>
      <c r="AB357" s="11">
        <f>SUMIFS(
    geo_data[n],
    geo_data[year], $A357,
    geo_data[CNTR_ID], AB$349
)</f>
        <v>11457</v>
      </c>
      <c r="AC357" s="11">
        <f>SUMIFS(
    geo_data[n],
    geo_data[year], $A357,
    geo_data[CNTR_ID], AC$349
)</f>
        <v>3145</v>
      </c>
      <c r="AD357" s="11">
        <f>SUMIFS(
    geo_data[n],
    geo_data[year], $A357,
    geo_data[CNTR_ID], AD$349
)</f>
        <v>24985</v>
      </c>
      <c r="AE357" s="11">
        <f>SUMIFS(
    geo_data[n],
    geo_data[year], $A357,
    geo_data[CNTR_ID], AE$349
)</f>
        <v>13122</v>
      </c>
      <c r="AF357" s="11">
        <f>SUMIFS(
    geo_data[n],
    geo_data[year], $A357,
    geo_data[CNTR_ID], AF$349
)</f>
        <v>17641</v>
      </c>
      <c r="AG357" s="11">
        <f>SUMIFS(
    geo_data[n],
    geo_data[year], $A357,
    geo_data[CNTR_ID], AG$349
)</f>
        <v>2091</v>
      </c>
      <c r="AH357" s="11">
        <f>SUMIFS(
    geo_data[n],
    geo_data[year], $A357,
    geo_data[CNTR_ID], AH$349
)</f>
        <v>4879</v>
      </c>
      <c r="AI357" s="11">
        <f>SUMIFS(
    geo_data[n],
    geo_data[year], $A357,
    geo_data[CNTR_ID], AI$349
)</f>
        <v>3916</v>
      </c>
      <c r="AJ357" s="11">
        <f>SUMIFS(
    geo_data[n],
    geo_data[year], $A357,
    geo_data[CNTR_ID], AJ$349
)</f>
        <v>6136</v>
      </c>
      <c r="AK357" s="11">
        <f>SUMIFS(
    geo_data[n],
    geo_data[year], $A357,
    geo_data[CNTR_ID], AK$349
)</f>
        <v>22846</v>
      </c>
      <c r="AL357" s="11">
        <f>SUMIFS(
    geo_data[n],
    geo_data[year], $A357,
    geo_data[CNTR_ID], AL$349
)</f>
        <v>2074</v>
      </c>
      <c r="AM357" s="11">
        <f>SUMIFS(
    geo_data[n],
    geo_data[year], $A357,
    geo_data[CNTR_ID], AM$349
)</f>
        <v>471</v>
      </c>
    </row>
    <row r="358" spans="1:39">
      <c r="A358" s="11">
        <v>2022</v>
      </c>
      <c r="B358" s="11">
        <f>SUMIFS(
    geo_data[n],
    geo_data[year], $A358,
    geo_data[CNTR_ID], B$349
)</f>
        <v>1831</v>
      </c>
      <c r="C358" s="11">
        <f>SUMIFS(
    geo_data[n],
    geo_data[year], $A358,
    geo_data[CNTR_ID], C$349
)</f>
        <v>14861</v>
      </c>
      <c r="D358" s="11">
        <f>SUMIFS(
    geo_data[n],
    geo_data[year], $A358,
    geo_data[CNTR_ID], $D$349
)</f>
        <v>20112</v>
      </c>
      <c r="E358" s="11">
        <f>SUMIFS(
    geo_data[n],
    geo_data[year], $A358,
    geo_data[CNTR_ID], E$349
)</f>
        <v>11168</v>
      </c>
      <c r="F358" s="11">
        <f>SUMIFS(
    geo_data[n],
    geo_data[year], $A358,
    geo_data[CNTR_ID], F$349
)</f>
        <v>2</v>
      </c>
      <c r="G358" s="11">
        <f>SUMIFS( geo_data[n],
    geo_data[year], $A358,
    geo_data[CNTR_ID], G$349
)</f>
        <v>1915</v>
      </c>
      <c r="H358" s="11">
        <f>SUMIFS(
    geo_data[n],
    geo_data[year], $A358,
    geo_data[CNTR_ID], H$349
)</f>
        <v>21754</v>
      </c>
      <c r="I358" s="11">
        <f>SUMIFS(
    geo_data[n],
    geo_data[year], $A358,
    geo_data[CNTR_ID], I$349
)</f>
        <v>78245</v>
      </c>
      <c r="J358" s="11">
        <f>SUMIFS(
    geo_data[n],
    geo_data[year], $A358,
    geo_data[CNTR_ID], J$349
)</f>
        <v>4239</v>
      </c>
      <c r="K358" s="11">
        <f>SUMIFS(
    geo_data[n],
    geo_data[year], $A358,
    geo_data[CNTR_ID], K$349
)</f>
        <v>7075</v>
      </c>
      <c r="L358" s="11">
        <f>SUMIFS(
    geo_data[n],
    geo_data[year], $A358,
    geo_data[CNTR_ID], L$349
)</f>
        <v>83525</v>
      </c>
      <c r="M358" s="11">
        <f>SUMIFS(
    geo_data[n],
    geo_data[year], $A358,
    geo_data[CNTR_ID], M$349
)</f>
        <v>11767</v>
      </c>
      <c r="N358" s="11">
        <f>SUMIFS(
    geo_data[n],
    geo_data[year], $A358,
    geo_data[CNTR_ID], N$349
)</f>
        <v>88828</v>
      </c>
      <c r="O358" s="11">
        <f>SUMIFS(
    geo_data[n],
    geo_data[year], $A358,
    geo_data[CNTR_ID], O$349
)</f>
        <v>8954</v>
      </c>
      <c r="P358" s="11">
        <f>SUMIFS(
    geo_data[n],
    geo_data[year], $A358,
    geo_data[CNTR_ID], P$349
)</f>
        <v>18185</v>
      </c>
      <c r="Q358" s="11">
        <f>SUMIFS(
    geo_data[n],
    geo_data[year], $A358,
    geo_data[CNTR_ID], Q$349
)</f>
        <v>7179</v>
      </c>
      <c r="R358" s="11">
        <f>SUMIFS(
    geo_data[n],
    geo_data[year], $A358,
    geo_data[CNTR_ID], R$349
)</f>
        <v>1703</v>
      </c>
      <c r="S358" s="11">
        <f>SUMIFS(
    geo_data[n],
    geo_data[year], $A358,
    geo_data[CNTR_ID], S$349
)</f>
        <v>77372</v>
      </c>
      <c r="T358" s="11">
        <f>SUMIFS(
    geo_data[n],
    geo_data[year], $A358,
    geo_data[CNTR_ID], T$349
)</f>
        <v>98</v>
      </c>
      <c r="U358" s="11">
        <f>SUMIFS(
    geo_data[n],
    geo_data[year], $A358,
    geo_data[CNTR_ID], U$349
)</f>
        <v>13878</v>
      </c>
      <c r="V358" s="11">
        <f>SUMIFS(
    geo_data[n],
    geo_data[year], $A358,
    geo_data[CNTR_ID], V$349
)</f>
        <v>964</v>
      </c>
      <c r="W358" s="11">
        <f>SUMIFS(
    geo_data[n],
    geo_data[year], $A358,
    geo_data[CNTR_ID], W$349
)</f>
        <v>8578</v>
      </c>
      <c r="X358" s="11">
        <f>SUMIFS(
    geo_data[n],
    geo_data[year], $A358,
    geo_data[CNTR_ID], X$349
)</f>
        <v>865</v>
      </c>
      <c r="Y358" s="11">
        <f>SUMIFS(
    geo_data[n],
    geo_data[year], $A358,
    geo_data[CNTR_ID], Y$349
)</f>
        <v>598</v>
      </c>
      <c r="Z358" s="11">
        <f>SUMIFS(
    geo_data[n],
    geo_data[year], $A358,
    geo_data[CNTR_ID], Z$349
)</f>
        <v>5034</v>
      </c>
      <c r="AA358" s="11">
        <f>SUMIFS(
    geo_data[n],
    geo_data[year], $A358,
    geo_data[CNTR_ID], AA$349
)</f>
        <v>1876</v>
      </c>
      <c r="AB358" s="11">
        <f>SUMIFS(
    geo_data[n],
    geo_data[year], $A358,
    geo_data[CNTR_ID], AB$349
)</f>
        <v>28433</v>
      </c>
      <c r="AC358" s="11">
        <f>SUMIFS(
    geo_data[n],
    geo_data[year], $A358,
    geo_data[CNTR_ID], AC$349
)</f>
        <v>7580</v>
      </c>
      <c r="AD358" s="11">
        <f>SUMIFS(
    geo_data[n],
    geo_data[year], $A358,
    geo_data[CNTR_ID], AD$349
)</f>
        <v>39769</v>
      </c>
      <c r="AE358" s="11">
        <f>SUMIFS(
    geo_data[n],
    geo_data[year], $A358,
    geo_data[CNTR_ID], AE$349
)</f>
        <v>23683</v>
      </c>
      <c r="AF358" s="11">
        <f>SUMIFS(
    geo_data[n],
    geo_data[year], $A358,
    geo_data[CNTR_ID], AF$349
)</f>
        <v>27830</v>
      </c>
      <c r="AG358" s="11">
        <f>SUMIFS(
    geo_data[n],
    geo_data[year], $A358,
    geo_data[CNTR_ID], AG$349
)</f>
        <v>3962</v>
      </c>
      <c r="AH358" s="11">
        <f>SUMIFS(
    geo_data[n],
    geo_data[year], $A358,
    geo_data[CNTR_ID], AH$349
)</f>
        <v>11408</v>
      </c>
      <c r="AI358" s="11">
        <f>SUMIFS(
    geo_data[n],
    geo_data[year], $A358,
    geo_data[CNTR_ID], AI$349
)</f>
        <v>7648</v>
      </c>
      <c r="AJ358" s="11">
        <f>SUMIFS(
    geo_data[n],
    geo_data[year], $A358,
    geo_data[CNTR_ID], AJ$349
)</f>
        <v>12719</v>
      </c>
      <c r="AK358" s="11">
        <f>SUMIFS(
    geo_data[n],
    geo_data[year], $A358,
    geo_data[CNTR_ID], AK$349
)</f>
        <v>43084</v>
      </c>
      <c r="AL358" s="11">
        <f>SUMIFS(
    geo_data[n],
    geo_data[year], $A358,
    geo_data[CNTR_ID], AL$349
)</f>
        <v>6480</v>
      </c>
      <c r="AM358" s="11">
        <f>SUMIFS(
    geo_data[n],
    geo_data[year], $A358,
    geo_data[CNTR_ID], AM$349
)</f>
        <v>820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E244D7-CD2D-4606-A8C3-6CCE3A76D3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2026-07-20T12:11:56Z</dcterms:created>
  <dcterms:modified xsi:type="dcterms:W3CDTF">2026-07-20T16:58:32Z</dcterms:modified>
  <cp:category/>
  <cp:contentStatus/>
</cp:coreProperties>
</file>